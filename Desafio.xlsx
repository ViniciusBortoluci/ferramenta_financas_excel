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urso DIO\Bootcamp Dado om Excel e IA\Desafio\"/>
    </mc:Choice>
  </mc:AlternateContent>
  <xr:revisionPtr revIDLastSave="0" documentId="13_ncr:1_{378D7340-E68A-4D54-A296-5D54352987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rramenta_Investimento" sheetId="1" r:id="rId1"/>
    <sheet name="Tabela_suporte" sheetId="2" r:id="rId2"/>
    <sheet name="Chart Data" sheetId="4" state="hidden" r:id="rId3"/>
  </sheets>
  <definedNames>
    <definedName name="_xlchart.v1.0" hidden="1">Tabela_suporte!$B$32:$B$35</definedName>
    <definedName name="_xlchart.v1.1" hidden="1">Tabela_suporte!$C$29:$C$31</definedName>
    <definedName name="_xlchart.v1.2" hidden="1">Tabela_suporte!$C$32:$C$35</definedName>
    <definedName name="Aporte">Ferramenta_Investimento!$D$21</definedName>
    <definedName name="Patrimonio">Ferramenta_Investimento!$D$24</definedName>
    <definedName name="qtd_anos">Ferramenta_Investimento!$D$22</definedName>
    <definedName name="Rendimento_Carteira">Ferramenta_Investimento!$D$17</definedName>
    <definedName name="Sugestão_Investimento">Ferramenta_Investimento!$D$18</definedName>
    <definedName name="taxa_mensal">Ferramenta_Investimento!$D$23</definedName>
    <definedName name="Taxas_Cenarios">Tabela_suporte!$B$24:$B$26</definedName>
    <definedName name="Tipo_investidor">Tabela_suporte!$A$24:$A$26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/>
  <c r="B34" i="2"/>
  <c r="B33" i="2"/>
  <c r="B32" i="2"/>
  <c r="B31" i="2"/>
  <c r="C28" i="1"/>
  <c r="D24" i="1"/>
  <c r="D25" i="1" s="1"/>
  <c r="C29" i="1"/>
  <c r="C30" i="1"/>
  <c r="C31" i="1"/>
  <c r="C32" i="1"/>
  <c r="C87" i="1"/>
  <c r="C88" i="1"/>
  <c r="C89" i="1"/>
  <c r="C90" i="1"/>
  <c r="C91" i="1"/>
  <c r="C55" i="1"/>
  <c r="D55" i="1" s="1"/>
  <c r="D18" i="1"/>
  <c r="C83" i="1" s="1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D2" i="4"/>
  <c r="C2" i="4"/>
  <c r="B2" i="4"/>
  <c r="A10" i="2"/>
  <c r="A11" i="2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A4" i="2"/>
  <c r="C86" i="1" l="1"/>
  <c r="D86" i="1" s="1"/>
  <c r="C56" i="1"/>
  <c r="D56" i="1" s="1"/>
  <c r="C57" i="1"/>
  <c r="D57" i="1" s="1"/>
  <c r="C58" i="1"/>
  <c r="D58" i="1" s="1"/>
  <c r="C59" i="1"/>
  <c r="D59" i="1" s="1"/>
  <c r="C60" i="1"/>
  <c r="D60" i="1" s="1"/>
  <c r="D28" i="1"/>
  <c r="A31" i="2"/>
  <c r="D29" i="1"/>
  <c r="A32" i="2"/>
  <c r="D30" i="1"/>
  <c r="A33" i="2"/>
  <c r="D31" i="1"/>
  <c r="A34" i="2"/>
  <c r="D32" i="1"/>
  <c r="A35" i="2"/>
  <c r="D91" i="1"/>
  <c r="D90" i="1"/>
  <c r="D89" i="1"/>
  <c r="D87" i="1"/>
  <c r="D88" i="1"/>
  <c r="C32" i="2" l="1"/>
  <c r="C34" i="2"/>
  <c r="C35" i="2"/>
  <c r="C33" i="2"/>
</calcChain>
</file>

<file path=xl/sharedStrings.xml><?xml version="1.0" encoding="utf-8"?>
<sst xmlns="http://schemas.openxmlformats.org/spreadsheetml/2006/main" count="93" uniqueCount="44">
  <si>
    <t>Quanto investir por mês?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</si>
  <si>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</si>
  <si>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</si>
  <si>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</si>
  <si>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</si>
  <si>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</si>
  <si>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</si>
  <si>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</si>
  <si>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</si>
  <si>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</si>
  <si>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Salário</t>
  </si>
  <si>
    <t>Rendimento Carteira</t>
  </si>
  <si>
    <t>Sugestão de Investimento</t>
  </si>
  <si>
    <t>CONFIGURAÇÕES</t>
  </si>
  <si>
    <t>CENÁRIOS</t>
  </si>
  <si>
    <t>DIVIDENDO</t>
  </si>
  <si>
    <t>VALOR A SER INVESTIDO</t>
  </si>
  <si>
    <t>TIPO DE FII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</si>
  <si>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</si>
  <si>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</si>
  <si>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</si>
  <si>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</si>
  <si>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</si>
  <si>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</si>
  <si>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</si>
  <si>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</si>
  <si>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Conservador</t>
  </si>
  <si>
    <t>Agressivo</t>
  </si>
  <si>
    <t>PERFIL</t>
  </si>
  <si>
    <t>Moderado</t>
  </si>
  <si>
    <t>%</t>
  </si>
  <si>
    <t>CHAVE</t>
  </si>
  <si>
    <t>Por quantos anos?</t>
  </si>
  <si>
    <t/>
  </si>
  <si>
    <t>Anos</t>
  </si>
  <si>
    <t>Conservador (0,60% a.m.)</t>
  </si>
  <si>
    <t>Base (0,80% a.m.)</t>
  </si>
  <si>
    <t>Otimista (1,00% a.m.)</t>
  </si>
  <si>
    <t>% de investimento</t>
  </si>
  <si>
    <t>Perfil de Investidor</t>
  </si>
  <si>
    <t xml:space="preserve">, 5 </t>
  </si>
  <si>
    <t>VALOR A SER INVESTIDO - 30% DO SÁLARIO</t>
  </si>
  <si>
    <t>Período</t>
  </si>
  <si>
    <t>Aumento vs. período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</si>
</sst>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;;;"/>
    <numFmt numFmtId="166" formatCode="&quot;R$&quot;\ #,##0"/>
    <numFmt numFmtId="167" formatCode="&quot;R$&quot;#,##0.00"/>
    <numFmt numFmtId="168" formatCode="[=0.006]&quot;Conservador - &quot;0.00%;[=0.008]&quot;Moderado - &quot;0.00%;&quot;Agressivo - &quot;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0.7999816888943144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AC99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 tint="-0.14996795556505021"/>
      </right>
      <top style="thin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thin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0.14996795556505021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 style="thin">
        <color indexed="64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/>
      <top style="medium">
        <color theme="0" tint="-0.14996795556505021"/>
      </top>
      <bottom style="medium">
        <color theme="0" tint="-4.9989318521683403E-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9" fontId="0" fillId="0" borderId="0" xfId="2" applyFont="1"/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Continuous" vertical="center"/>
    </xf>
    <xf numFmtId="0" fontId="7" fillId="3" borderId="2" xfId="0" applyFont="1" applyFill="1" applyBorder="1" applyAlignment="1">
      <alignment horizontal="centerContinuous"/>
    </xf>
    <xf numFmtId="0" fontId="6" fillId="2" borderId="1" xfId="0" applyFont="1" applyFill="1" applyBorder="1" applyAlignment="1">
      <alignment horizontal="centerContinuous" vertical="center"/>
    </xf>
    <xf numFmtId="0" fontId="6" fillId="2" borderId="2" xfId="0" applyFont="1" applyFill="1" applyBorder="1" applyAlignment="1">
      <alignment horizontal="centerContinuous" vertical="center"/>
    </xf>
    <xf numFmtId="164" fontId="4" fillId="0" borderId="5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6" borderId="7" xfId="0" applyFont="1" applyFill="1" applyBorder="1" applyAlignment="1">
      <alignment horizontal="centerContinuous"/>
    </xf>
    <xf numFmtId="164" fontId="5" fillId="0" borderId="8" xfId="1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0" fontId="5" fillId="0" borderId="8" xfId="2" applyNumberFormat="1" applyFont="1" applyBorder="1" applyAlignment="1">
      <alignment horizontal="center"/>
    </xf>
    <xf numFmtId="8" fontId="4" fillId="6" borderId="4" xfId="0" applyNumberFormat="1" applyFont="1" applyFill="1" applyBorder="1"/>
    <xf numFmtId="8" fontId="4" fillId="6" borderId="5" xfId="0" applyNumberFormat="1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Continuous" vertical="center"/>
    </xf>
    <xf numFmtId="0" fontId="6" fillId="2" borderId="13" xfId="0" applyFont="1" applyFill="1" applyBorder="1" applyAlignment="1">
      <alignment horizontal="centerContinuous" vertical="center"/>
    </xf>
    <xf numFmtId="0" fontId="3" fillId="2" borderId="14" xfId="0" applyFont="1" applyFill="1" applyBorder="1" applyAlignment="1">
      <alignment horizontal="center" vertical="center"/>
    </xf>
    <xf numFmtId="8" fontId="5" fillId="5" borderId="15" xfId="0" applyNumberFormat="1" applyFont="1" applyFill="1" applyBorder="1" applyAlignment="1">
      <alignment horizontal="center"/>
    </xf>
    <xf numFmtId="8" fontId="5" fillId="5" borderId="16" xfId="0" applyNumberFormat="1" applyFont="1" applyFill="1" applyBorder="1" applyAlignment="1">
      <alignment horizontal="center"/>
    </xf>
    <xf numFmtId="0" fontId="4" fillId="5" borderId="17" xfId="0" applyFont="1" applyFill="1" applyBorder="1" applyAlignment="1">
      <alignment horizontal="left" indent="5"/>
    </xf>
    <xf numFmtId="0" fontId="4" fillId="5" borderId="18" xfId="0" applyFont="1" applyFill="1" applyBorder="1" applyAlignment="1">
      <alignment horizontal="left" indent="5"/>
    </xf>
    <xf numFmtId="0" fontId="4" fillId="5" borderId="19" xfId="0" applyFont="1" applyFill="1" applyBorder="1" applyAlignment="1">
      <alignment horizontal="left" indent="5"/>
    </xf>
    <xf numFmtId="0" fontId="4" fillId="6" borderId="6" xfId="0" applyFont="1" applyFill="1" applyBorder="1" applyAlignment="1">
      <alignment horizontal="centerContinuous"/>
    </xf>
    <xf numFmtId="0" fontId="4" fillId="6" borderId="3" xfId="0" applyFont="1" applyFill="1" applyBorder="1" applyAlignment="1">
      <alignment horizontal="centerContinuous"/>
    </xf>
    <xf numFmtId="0" fontId="4" fillId="6" borderId="4" xfId="0" applyFont="1" applyFill="1" applyBorder="1" applyAlignment="1">
      <alignment horizontal="centerContinuous"/>
    </xf>
    <xf numFmtId="0" fontId="4" fillId="6" borderId="9" xfId="0" applyFont="1" applyFill="1" applyBorder="1" applyAlignment="1">
      <alignment horizontal="centerContinuous"/>
    </xf>
    <xf numFmtId="0" fontId="4" fillId="6" borderId="10" xfId="0" applyFont="1" applyFill="1" applyBorder="1" applyAlignment="1">
      <alignment horizontal="centerContinuous"/>
    </xf>
    <xf numFmtId="8" fontId="5" fillId="5" borderId="20" xfId="0" applyNumberFormat="1" applyFont="1" applyFill="1" applyBorder="1" applyAlignment="1">
      <alignment horizontal="centerContinuous"/>
    </xf>
    <xf numFmtId="8" fontId="5" fillId="5" borderId="21" xfId="0" applyNumberFormat="1" applyFont="1" applyFill="1" applyBorder="1" applyAlignment="1">
      <alignment horizontal="centerContinuous"/>
    </xf>
    <xf numFmtId="8" fontId="5" fillId="5" borderId="22" xfId="0" applyNumberFormat="1" applyFont="1" applyFill="1" applyBorder="1" applyAlignment="1">
      <alignment horizontal="centerContinuous"/>
    </xf>
    <xf numFmtId="8" fontId="5" fillId="5" borderId="23" xfId="0" applyNumberFormat="1" applyFont="1" applyFill="1" applyBorder="1" applyAlignment="1">
      <alignment horizontal="centerContinuous"/>
    </xf>
    <xf numFmtId="0" fontId="0" fillId="6" borderId="0" xfId="0" applyFill="1"/>
    <xf numFmtId="9" fontId="0" fillId="0" borderId="0" xfId="2" applyFont="1" applyAlignment="1">
      <alignment horizontal="center"/>
    </xf>
    <xf numFmtId="0" fontId="0" fillId="6" borderId="0" xfId="0" applyFill="1" applyAlignment="1">
      <alignment horizontal="center"/>
    </xf>
    <xf numFmtId="9" fontId="0" fillId="6" borderId="0" xfId="2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2" applyFont="1" applyFill="1" applyAlignment="1">
      <alignment horizontal="center"/>
    </xf>
    <xf numFmtId="0" fontId="0" fillId="9" borderId="0" xfId="0" applyFill="1"/>
    <xf numFmtId="165" fontId="0" fillId="9" borderId="0" xfId="0" applyNumberFormat="1" applyFill="1"/>
    <xf numFmtId="9" fontId="0" fillId="0" borderId="0" xfId="0" applyNumberFormat="1"/>
    <xf numFmtId="8" fontId="4" fillId="6" borderId="24" xfId="0" applyNumberFormat="1" applyFont="1" applyFill="1" applyBorder="1" applyAlignment="1">
      <alignment horizontal="center"/>
    </xf>
    <xf numFmtId="0" fontId="8" fillId="9" borderId="0" xfId="0" applyFont="1" applyFill="1"/>
    <xf numFmtId="0" fontId="0" fillId="9" borderId="0" xfId="0" quotePrefix="1" applyFill="1"/>
    <xf numFmtId="0" fontId="9" fillId="9" borderId="0" xfId="0" applyFont="1" applyFill="1"/>
    <xf numFmtId="8" fontId="4" fillId="6" borderId="25" xfId="0" applyNumberFormat="1" applyFont="1" applyFill="1" applyBorder="1"/>
    <xf numFmtId="0" fontId="0" fillId="6" borderId="29" xfId="0" applyFill="1" applyBorder="1"/>
    <xf numFmtId="166" fontId="0" fillId="0" borderId="0" xfId="0" applyNumberFormat="1"/>
    <xf numFmtId="0" fontId="2" fillId="4" borderId="1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9" fontId="0" fillId="8" borderId="0" xfId="0" applyNumberFormat="1" applyFill="1" applyAlignment="1">
      <alignment horizontal="center"/>
    </xf>
    <xf numFmtId="164" fontId="0" fillId="8" borderId="28" xfId="0" applyNumberFormat="1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9" fontId="0" fillId="8" borderId="30" xfId="0" applyNumberFormat="1" applyFill="1" applyBorder="1" applyAlignment="1">
      <alignment horizontal="center"/>
    </xf>
    <xf numFmtId="164" fontId="0" fillId="8" borderId="3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left" indent="5"/>
    </xf>
    <xf numFmtId="0" fontId="0" fillId="7" borderId="26" xfId="0" applyFill="1" applyBorder="1" applyAlignment="1">
      <alignment horizontal="centerContinuous"/>
    </xf>
    <xf numFmtId="0" fontId="0" fillId="7" borderId="2" xfId="0" applyFill="1" applyBorder="1" applyAlignment="1">
      <alignment horizontal="centerContinuous"/>
    </xf>
    <xf numFmtId="164" fontId="0" fillId="6" borderId="30" xfId="0" applyNumberFormat="1" applyFill="1" applyBorder="1" applyAlignment="1">
      <alignment horizontal="centerContinuous"/>
    </xf>
    <xf numFmtId="164" fontId="0" fillId="6" borderId="31" xfId="0" applyNumberFormat="1" applyFill="1" applyBorder="1" applyAlignment="1">
      <alignment horizontal="centerContinuous"/>
    </xf>
    <xf numFmtId="9" fontId="0" fillId="6" borderId="33" xfId="2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9" borderId="0" xfId="0" applyFill="1" applyAlignment="1">
      <alignment horizontal="centerContinuous"/>
    </xf>
    <xf numFmtId="8" fontId="0" fillId="0" borderId="0" xfId="0" applyNumberFormat="1"/>
    <xf numFmtId="8" fontId="4" fillId="0" borderId="0" xfId="0" applyNumberFormat="1" applyFont="1"/>
    <xf numFmtId="0" fontId="0" fillId="10" borderId="0" xfId="0" applyFill="1"/>
    <xf numFmtId="9" fontId="0" fillId="10" borderId="0" xfId="0" applyNumberFormat="1" applyFill="1"/>
    <xf numFmtId="167" fontId="4" fillId="10" borderId="0" xfId="0" applyNumberFormat="1" applyFont="1" applyFill="1"/>
    <xf numFmtId="9" fontId="0" fillId="10" borderId="0" xfId="2" applyFont="1" applyFill="1" applyBorder="1"/>
    <xf numFmtId="10" fontId="0" fillId="9" borderId="0" xfId="2" applyNumberFormat="1" applyFont="1" applyFill="1"/>
    <xf numFmtId="168" fontId="4" fillId="0" borderId="28" xfId="2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3AC9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>
                <a:solidFill>
                  <a:schemeClr val="bg1">
                    <a:lumMod val="65000"/>
                  </a:schemeClr>
                </a:solidFill>
              </a:rPr>
              <a:t>Percentual</a:t>
            </a:r>
            <a:r>
              <a:rPr lang="pt-BR" sz="1400" b="1" baseline="0">
                <a:solidFill>
                  <a:schemeClr val="bg1">
                    <a:lumMod val="65000"/>
                  </a:schemeClr>
                </a:solidFill>
              </a:rPr>
              <a:t> de Inverstimento </a:t>
            </a:r>
            <a:endParaRPr lang="pt-BR" sz="1400" b="1">
              <a:solidFill>
                <a:schemeClr val="bg1">
                  <a:lumMod val="6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shade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0C-4253-91CA-D294BEB58DAD}"/>
              </c:ext>
            </c:extLst>
          </c:dPt>
          <c:dPt>
            <c:idx val="1"/>
            <c:bubble3D val="0"/>
            <c:spPr>
              <a:solidFill>
                <a:schemeClr val="accent6">
                  <a:shade val="7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0C-4253-91CA-D294BEB58DAD}"/>
              </c:ext>
            </c:extLst>
          </c:dPt>
          <c:dPt>
            <c:idx val="2"/>
            <c:bubble3D val="0"/>
            <c:spPr>
              <a:solidFill>
                <a:schemeClr val="accent6">
                  <a:shade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0C-4253-91CA-D294BEB58DAD}"/>
              </c:ext>
            </c:extLst>
          </c:dPt>
          <c:dPt>
            <c:idx val="3"/>
            <c:bubble3D val="0"/>
            <c:spPr>
              <a:solidFill>
                <a:schemeClr val="accent6">
                  <a:tint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0C-4253-91CA-D294BEB58DAD}"/>
              </c:ext>
            </c:extLst>
          </c:dPt>
          <c:dPt>
            <c:idx val="4"/>
            <c:bubble3D val="0"/>
            <c:spPr>
              <a:solidFill>
                <a:schemeClr val="accent6">
                  <a:tint val="7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A0C-4253-91CA-D294BEB58DAD}"/>
              </c:ext>
            </c:extLst>
          </c:dPt>
          <c:dPt>
            <c:idx val="5"/>
            <c:bubble3D val="0"/>
            <c:spPr>
              <a:solidFill>
                <a:schemeClr val="accent6">
                  <a:tint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A0C-4253-91CA-D294BEB58D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Ferramenta_Investimento!$B$55:$B$60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Ferramenta_Investimento!$C$55:$C$60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F-4E0F-99AC-EFDFBB10F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chemeClr val="bg1">
                    <a:lumMod val="65000"/>
                  </a:schemeClr>
                </a:solidFill>
              </a:rPr>
              <a:t>Valor aplicado a cada tipo de investimento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8359177885022435"/>
          <c:y val="0.13782001058700924"/>
          <c:w val="0.71220281940563868"/>
          <c:h val="0.8259972615088140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Ferramenta_Investimento!$B$55:$B$60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Ferramenta_Investimento!$D$55:$D$60</c:f>
              <c:numCache>
                <c:formatCode>"R$"\ #,##0.00</c:formatCode>
                <c:ptCount val="6"/>
                <c:pt idx="0">
                  <c:v>160</c:v>
                </c:pt>
                <c:pt idx="1">
                  <c:v>175</c:v>
                </c:pt>
                <c:pt idx="2">
                  <c:v>40</c:v>
                </c:pt>
                <c:pt idx="3">
                  <c:v>25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8-42F7-8729-ECA00CF82B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89241840"/>
        <c:axId val="1764489968"/>
      </c:barChart>
      <c:catAx>
        <c:axId val="16892418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4489968"/>
        <c:crosses val="autoZero"/>
        <c:auto val="1"/>
        <c:lblAlgn val="ctr"/>
        <c:lblOffset val="100"/>
        <c:noMultiLvlLbl val="0"/>
      </c:catAx>
      <c:valAx>
        <c:axId val="1764489968"/>
        <c:scaling>
          <c:orientation val="minMax"/>
        </c:scaling>
        <c:delete val="1"/>
        <c:axPos val="b"/>
        <c:numFmt formatCode="&quot;R$&quot;\ #,##0.00" sourceLinked="1"/>
        <c:majorTickMark val="out"/>
        <c:minorTickMark val="none"/>
        <c:tickLblPos val="nextTo"/>
        <c:crossAx val="168924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>
                    <a:lumMod val="65000"/>
                  </a:schemeClr>
                </a:solidFill>
              </a:rPr>
              <a:t>Percentual</a:t>
            </a:r>
            <a:r>
              <a:rPr lang="pt-BR" sz="1600" b="1" baseline="0">
                <a:solidFill>
                  <a:schemeClr val="bg1">
                    <a:lumMod val="65000"/>
                  </a:schemeClr>
                </a:solidFill>
              </a:rPr>
              <a:t> de Inverstimento </a:t>
            </a:r>
          </a:p>
          <a:p>
            <a:pPr>
              <a:defRPr sz="1600" b="1">
                <a:solidFill>
                  <a:schemeClr val="bg1">
                    <a:lumMod val="65000"/>
                  </a:schemeClr>
                </a:solidFill>
              </a:defRPr>
            </a:pPr>
            <a:endParaRPr lang="pt-BR" sz="1600" b="1">
              <a:solidFill>
                <a:schemeClr val="bg1">
                  <a:lumMod val="65000"/>
                </a:schemeClr>
              </a:solidFill>
            </a:endParaRPr>
          </a:p>
        </c:rich>
      </c:tx>
      <c:layout>
        <c:manualLayout>
          <c:xMode val="edge"/>
          <c:yMode val="edge"/>
          <c:x val="0.16082932256418767"/>
          <c:y val="1.0884445580644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191908388500622"/>
          <c:y val="0.19655137746704623"/>
          <c:w val="0.60232888921671679"/>
          <c:h val="0.703677841322000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F6-4B13-A173-339137F82DF4}"/>
              </c:ext>
            </c:extLst>
          </c:dPt>
          <c:dPt>
            <c:idx val="1"/>
            <c:bubble3D val="0"/>
            <c:spPr>
              <a:solidFill>
                <a:schemeClr val="accent6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F6-4B13-A173-339137F82DF4}"/>
              </c:ext>
            </c:extLst>
          </c:dPt>
          <c:dPt>
            <c:idx val="2"/>
            <c:bubble3D val="0"/>
            <c:spPr>
              <a:solidFill>
                <a:schemeClr val="accent6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F6-4B13-A173-339137F82DF4}"/>
              </c:ext>
            </c:extLst>
          </c:dPt>
          <c:dPt>
            <c:idx val="3"/>
            <c:bubble3D val="0"/>
            <c:spPr>
              <a:solidFill>
                <a:schemeClr val="accent6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F6-4B13-A173-339137F82DF4}"/>
              </c:ext>
            </c:extLst>
          </c:dPt>
          <c:dPt>
            <c:idx val="4"/>
            <c:bubble3D val="0"/>
            <c:spPr>
              <a:solidFill>
                <a:schemeClr val="accent6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F6-4B13-A173-339137F82DF4}"/>
              </c:ext>
            </c:extLst>
          </c:dPt>
          <c:dPt>
            <c:idx val="5"/>
            <c:bubble3D val="0"/>
            <c:spPr>
              <a:solidFill>
                <a:schemeClr val="accent6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BF6-4B13-A173-339137F82DF4}"/>
              </c:ext>
            </c:extLst>
          </c:dPt>
          <c:dLbls>
            <c:dLbl>
              <c:idx val="0"/>
              <c:layout>
                <c:manualLayout>
                  <c:x val="-2.8103044496487119E-2"/>
                  <c:y val="-7.295936393222213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810839218868132"/>
                      <c:h val="7.73553092299340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BF6-4B13-A173-339137F82DF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260733801717406"/>
                      <c:h val="8.829921381976739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BF6-4B13-A173-339137F82DF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7188466195824"/>
                      <c:h val="7.73553092299340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BF6-4B13-A173-339137F82DF4}"/>
                </c:ext>
              </c:extLst>
            </c:dLbl>
            <c:dLbl>
              <c:idx val="4"/>
              <c:layout>
                <c:manualLayout>
                  <c:x val="1.7174205683306028E-2"/>
                  <c:y val="3.1007729671194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48788778451874"/>
                      <c:h val="0.11662554324565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6BF6-4B13-A173-339137F82DF4}"/>
                </c:ext>
              </c:extLst>
            </c:dLbl>
            <c:dLbl>
              <c:idx val="5"/>
              <c:layout>
                <c:manualLayout>
                  <c:x val="9.0554254488680666E-2"/>
                  <c:y val="2.18878091796667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302900662007415"/>
                      <c:h val="0.134865384228713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6BF6-4B13-A173-339137F82D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Ferramenta_Investimento!$B$86:$B$91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Ferramenta_Investimento!$C$86:$C$91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BF6-4B13-A173-339137F82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>
                    <a:lumMod val="65000"/>
                  </a:schemeClr>
                </a:solidFill>
              </a:rPr>
              <a:t>Valor aplicado a cada tipo de investimento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341367634389213"/>
          <c:y val="0.13782001058700924"/>
          <c:w val="0.72238083789144691"/>
          <c:h val="0.8259972615088140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Ferramenta_Investimento!$B$86:$B$91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Ferramenta_Investimento!$D$86:$D$91</c:f>
              <c:numCache>
                <c:formatCode>"R$"\ #,##0.00</c:formatCode>
                <c:ptCount val="6"/>
                <c:pt idx="0">
                  <c:v>768</c:v>
                </c:pt>
                <c:pt idx="1">
                  <c:v>840</c:v>
                </c:pt>
                <c:pt idx="2">
                  <c:v>192</c:v>
                </c:pt>
                <c:pt idx="3">
                  <c:v>120</c:v>
                </c:pt>
                <c:pt idx="4">
                  <c:v>240</c:v>
                </c:pt>
                <c:pt idx="5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5-48FD-8668-F00446D1DC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89241840"/>
        <c:axId val="1764489968"/>
      </c:barChart>
      <c:catAx>
        <c:axId val="16892418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4489968"/>
        <c:crosses val="autoZero"/>
        <c:auto val="1"/>
        <c:lblAlgn val="ctr"/>
        <c:lblOffset val="100"/>
        <c:noMultiLvlLbl val="0"/>
      </c:catAx>
      <c:valAx>
        <c:axId val="1764489968"/>
        <c:scaling>
          <c:orientation val="minMax"/>
        </c:scaling>
        <c:delete val="1"/>
        <c:axPos val="b"/>
        <c:numFmt formatCode="&quot;R$&quot;\ #,##0.00" sourceLinked="1"/>
        <c:majorTickMark val="out"/>
        <c:minorTickMark val="none"/>
        <c:tickLblPos val="nextTo"/>
        <c:crossAx val="168924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>
                    <a:lumMod val="65000"/>
                  </a:schemeClr>
                </a:solidFill>
              </a:rPr>
              <a:t>Veja o rendimento</a:t>
            </a:r>
            <a:r>
              <a:rPr lang="en-US" b="1" baseline="0">
                <a:solidFill>
                  <a:schemeClr val="bg1">
                    <a:lumMod val="65000"/>
                  </a:schemeClr>
                </a:solidFill>
              </a:rPr>
              <a:t> ao passar dos anos</a:t>
            </a:r>
            <a:endParaRPr lang="en-US" b="1">
              <a:solidFill>
                <a:schemeClr val="bg1">
                  <a:lumMod val="65000"/>
                </a:schemeClr>
              </a:solidFill>
            </a:endParaRPr>
          </a:p>
        </c:rich>
      </c:tx>
      <c:layout>
        <c:manualLayout>
          <c:xMode val="edge"/>
          <c:yMode val="edge"/>
          <c:x val="0.30919672738632364"/>
          <c:y val="2.62294991680223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909729539866527E-2"/>
          <c:y val="0.15118208298022184"/>
          <c:w val="0.96909027046013352"/>
          <c:h val="0.71995052882387889"/>
        </c:manualLayout>
      </c:layout>
      <c:lineChart>
        <c:grouping val="standard"/>
        <c:varyColors val="0"/>
        <c:ser>
          <c:idx val="1"/>
          <c:order val="0"/>
          <c:tx>
            <c:v>Progresso até a meta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Ferramenta_Investimento!$A$28:$A$32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Ferramenta_Investimento!$C$28:$C$32</c:f>
              <c:numCache>
                <c:formatCode>"R$"#,##0.00_);[Red]\("R$"#,##0.00\)</c:formatCode>
                <c:ptCount val="5"/>
                <c:pt idx="0">
                  <c:v>64736.315647659598</c:v>
                </c:pt>
                <c:pt idx="1">
                  <c:v>196007.20765538191</c:v>
                </c:pt>
                <c:pt idx="2">
                  <c:v>552092.8546976808</c:v>
                </c:pt>
                <c:pt idx="3">
                  <c:v>2374212.876929671</c:v>
                </c:pt>
                <c:pt idx="4">
                  <c:v>8387913.9186444152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F9-4E19-9074-50A0A5258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7496688"/>
        <c:axId val="1563457904"/>
      </c:lineChart>
      <c:catAx>
        <c:axId val="128749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>
                        <a:lumMod val="50000"/>
                      </a:schemeClr>
                    </a:solidFill>
                  </a:rPr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457904"/>
        <c:crosses val="autoZero"/>
        <c:auto val="0"/>
        <c:lblAlgn val="ctr"/>
        <c:lblOffset val="100"/>
        <c:noMultiLvlLbl val="0"/>
      </c:catAx>
      <c:valAx>
        <c:axId val="1563457904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28749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Veja o quanto o patrimônio aumentou por  período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bg1">
                  <a:lumMod val="65000"/>
                </a:schemeClr>
              </a:solidFill>
            </a:defRPr>
          </a:pPr>
          <a:r>
            <a:rPr lang="pt-BR" sz="1400" b="1" i="0" u="none" strike="noStrike" baseline="0">
              <a:solidFill>
                <a:schemeClr val="bg1">
                  <a:lumMod val="65000"/>
                </a:schemeClr>
              </a:solidFill>
              <a:latin typeface="Calibri" panose="020F0502020204030204"/>
            </a:rPr>
            <a:t>Veja o quanto o patrimônio aumentou por  período</a:t>
          </a:r>
        </a:p>
      </cx:txPr>
    </cx:title>
    <cx:plotArea>
      <cx:plotAreaRegion>
        <cx:series layoutId="waterfall" uniqueId="{00000001-E723-47D9-8DD4-36C5E489D0B4}">
          <cx:tx>
            <cx:txData>
              <cx:f>_xlchart.v1.1</cx:f>
              <cx:v>Aumento vs. período anterior 0%</cx:v>
            </cx:txData>
          </cx:tx>
          <cx:spPr>
            <a:solidFill>
              <a:schemeClr val="accent6"/>
            </a:solidFill>
            <a:ln w="25400">
              <a:solidFill>
                <a:schemeClr val="accent6"/>
              </a:solidFill>
            </a:ln>
          </cx:spPr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 b="1">
                    <a:solidFill>
                      <a:sysClr val="windowText" lastClr="000000"/>
                    </a:solidFill>
                  </a:defRPr>
                </a:pPr>
                <a:endParaRPr lang="pt-BR" sz="14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>
                    <a:lumMod val="65000"/>
                  </a:schemeClr>
                </a:solidFill>
              </a:defRPr>
            </a:pPr>
            <a:endParaRPr lang="pt-BR" sz="900" b="0" i="0" u="none" strike="noStrike" baseline="0">
              <a:solidFill>
                <a:schemeClr val="bg1">
                  <a:lumMod val="65000"/>
                </a:schemeClr>
              </a:solidFill>
              <a:latin typeface="Calibri" panose="020F0502020204030204"/>
            </a:endParaRPr>
          </a:p>
        </cx:txPr>
      </cx:axis>
      <cx:axis id="1" hidden="1">
        <cx:valScaling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microsoft.com/office/2014/relationships/chartEx" Target="../charts/chartEx1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2</xdr:row>
      <xdr:rowOff>41222</xdr:rowOff>
    </xdr:from>
    <xdr:to>
      <xdr:col>5</xdr:col>
      <xdr:colOff>1019175</xdr:colOff>
      <xdr:row>12</xdr:row>
      <xdr:rowOff>107044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9D0A20A-EF0F-242A-4BF8-FC170EBCD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5300" y="1755722"/>
          <a:ext cx="9544050" cy="1970822"/>
        </a:xfrm>
        <a:prstGeom prst="rect">
          <a:avLst/>
        </a:prstGeom>
      </xdr:spPr>
    </xdr:pic>
    <xdr:clientData/>
  </xdr:twoCellAnchor>
  <xdr:twoCellAnchor>
    <xdr:from>
      <xdr:col>0</xdr:col>
      <xdr:colOff>809626</xdr:colOff>
      <xdr:row>60</xdr:row>
      <xdr:rowOff>157160</xdr:rowOff>
    </xdr:from>
    <xdr:to>
      <xdr:col>2</xdr:col>
      <xdr:colOff>476251</xdr:colOff>
      <xdr:row>79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294836F-2AE1-93D4-DDB3-7D0B4307A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514350</xdr:colOff>
      <xdr:row>60</xdr:row>
      <xdr:rowOff>152401</xdr:rowOff>
    </xdr:from>
    <xdr:to>
      <xdr:col>5</xdr:col>
      <xdr:colOff>819149</xdr:colOff>
      <xdr:row>79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EE2635-5A8D-A6D9-554E-46040382D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790575</xdr:colOff>
      <xdr:row>92</xdr:row>
      <xdr:rowOff>66675</xdr:rowOff>
    </xdr:from>
    <xdr:to>
      <xdr:col>2</xdr:col>
      <xdr:colOff>504825</xdr:colOff>
      <xdr:row>110</xdr:row>
      <xdr:rowOff>119065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E8B43AE-6FA7-4A5F-B3E4-F332F1F61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533400</xdr:colOff>
      <xdr:row>92</xdr:row>
      <xdr:rowOff>66675</xdr:rowOff>
    </xdr:from>
    <xdr:to>
      <xdr:col>5</xdr:col>
      <xdr:colOff>819150</xdr:colOff>
      <xdr:row>110</xdr:row>
      <xdr:rowOff>123824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ACA545D-9FB8-4172-89A9-3F73BDDBC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1533523</xdr:colOff>
      <xdr:row>32</xdr:row>
      <xdr:rowOff>152399</xdr:rowOff>
    </xdr:from>
    <xdr:to>
      <xdr:col>4</xdr:col>
      <xdr:colOff>19049</xdr:colOff>
      <xdr:row>48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8D46693-6334-E9B1-2F20-F0CCBE195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790575</xdr:colOff>
      <xdr:row>111</xdr:row>
      <xdr:rowOff>52388</xdr:rowOff>
    </xdr:from>
    <xdr:to>
      <xdr:col>5</xdr:col>
      <xdr:colOff>819150</xdr:colOff>
      <xdr:row>129</xdr:row>
      <xdr:rowOff>23813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9">
              <a:extLst>
                <a:ext uri="{FF2B5EF4-FFF2-40B4-BE49-F238E27FC236}">
                  <a16:creationId xmlns:a16="http://schemas.microsoft.com/office/drawing/2014/main" id="{D3E13563-8CCD-7DAC-1171-27E05029ED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575" y="22655213"/>
              <a:ext cx="9048750" cy="3400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0.04426</cdr:x>
      <cdr:y>0.17065</cdr:y>
    </cdr:from>
    <cdr:to>
      <cdr:x>0.27608</cdr:x>
      <cdr:y>0.47687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B207EE3-84EB-F08C-538A-AEC1E1C9A099}"/>
            </a:ext>
          </a:extLst>
        </cdr:cNvPr>
        <cdr:cNvSpPr txBox="1"/>
      </cdr:nvSpPr>
      <cdr:spPr>
        <a:xfrm xmlns:a="http://schemas.openxmlformats.org/drawingml/2006/main">
          <a:off x="400051" y="509589"/>
          <a:ext cx="20955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AC991"/>
  </sheetPr>
  <dimension ref="A1:K171"/>
  <sheetViews>
    <sheetView showGridLines="0" showRowColHeaders="0" tabSelected="1" workbookViewId="0">
      <selection activeCell="F58" sqref="F58"/>
    </sheetView>
  </sheetViews>
  <sheetFormatPr defaultColWidth="0" defaultRowHeight="15" x14ac:dyDescent="0.25"/>
  <cols>
    <col min="1" max="1" width="23.140625" customWidth="1"/>
    <col min="2" max="3" width="42.140625" customWidth="1"/>
    <col min="4" max="4" width="26.140625" customWidth="1"/>
    <col min="5" max="5" width="1.7109375" customWidth="1"/>
    <col min="6" max="6" width="22.140625" customWidth="1"/>
    <col min="7" max="7" width="2" customWidth="1"/>
    <col min="8" max="8" width="9.140625" hidden="1" customWidth="1"/>
    <col min="9" max="11" width="0" hidden="1" customWidth="1"/>
    <col min="12" max="16384" width="9.140625" hidden="1"/>
  </cols>
  <sheetData>
    <row r="1" spans="1:7" x14ac:dyDescent="0.25">
      <c r="A1" s="39"/>
      <c r="B1" s="39"/>
      <c r="C1" s="39"/>
      <c r="D1" s="39"/>
      <c r="E1" s="39"/>
      <c r="F1" s="39"/>
      <c r="G1" s="39"/>
    </row>
    <row r="2" spans="1:7" x14ac:dyDescent="0.25">
      <c r="A2" s="39"/>
      <c r="B2" s="39"/>
      <c r="C2" s="39"/>
      <c r="D2" s="39"/>
      <c r="E2" s="39"/>
      <c r="F2" s="39"/>
      <c r="G2" s="39"/>
    </row>
    <row r="3" spans="1:7" x14ac:dyDescent="0.25">
      <c r="A3" s="39"/>
      <c r="B3" s="39"/>
      <c r="C3" s="39"/>
      <c r="D3" s="39"/>
      <c r="E3" s="39"/>
      <c r="F3" s="39"/>
      <c r="G3" s="39"/>
    </row>
    <row r="4" spans="1:7" x14ac:dyDescent="0.25">
      <c r="A4" s="39"/>
      <c r="B4" s="39"/>
      <c r="C4" s="39"/>
      <c r="D4" s="39"/>
      <c r="E4" s="39"/>
      <c r="F4" s="39"/>
      <c r="G4" s="39"/>
    </row>
    <row r="5" spans="1:7" x14ac:dyDescent="0.25">
      <c r="A5" s="39"/>
      <c r="B5" s="39"/>
      <c r="C5" s="39"/>
      <c r="D5" s="39"/>
      <c r="E5" s="39"/>
      <c r="F5" s="39"/>
      <c r="G5" s="39"/>
    </row>
    <row r="6" spans="1:7" x14ac:dyDescent="0.25">
      <c r="A6" s="39"/>
      <c r="B6" s="39"/>
      <c r="C6" s="39"/>
      <c r="D6" s="39"/>
      <c r="E6" s="39"/>
      <c r="F6" s="39"/>
      <c r="G6" s="39"/>
    </row>
    <row r="7" spans="1:7" x14ac:dyDescent="0.25">
      <c r="A7" s="39"/>
      <c r="B7" s="39"/>
      <c r="C7" s="39"/>
      <c r="D7" s="39"/>
      <c r="E7" s="39"/>
      <c r="F7" s="39"/>
      <c r="G7" s="39"/>
    </row>
    <row r="8" spans="1:7" x14ac:dyDescent="0.25">
      <c r="A8" s="39"/>
      <c r="B8" s="39"/>
      <c r="C8" s="39"/>
      <c r="D8" s="39"/>
      <c r="E8" s="39"/>
      <c r="F8" s="39"/>
      <c r="G8" s="39"/>
    </row>
    <row r="9" spans="1:7" x14ac:dyDescent="0.25">
      <c r="A9" s="39"/>
      <c r="B9" s="39"/>
      <c r="C9" s="39"/>
      <c r="D9" s="39"/>
      <c r="E9" s="39"/>
      <c r="F9" s="39"/>
      <c r="G9" s="39"/>
    </row>
    <row r="10" spans="1:7" x14ac:dyDescent="0.25">
      <c r="A10" s="39"/>
      <c r="B10" s="39"/>
      <c r="C10" s="39"/>
      <c r="D10" s="39"/>
      <c r="E10" s="39"/>
      <c r="F10" s="39"/>
      <c r="G10" s="39"/>
    </row>
    <row r="11" spans="1:7" x14ac:dyDescent="0.25">
      <c r="A11" s="39"/>
      <c r="B11" s="39"/>
      <c r="C11" s="39"/>
      <c r="D11" s="39"/>
      <c r="E11" s="39"/>
      <c r="F11" s="39"/>
      <c r="G11" s="39"/>
    </row>
    <row r="12" spans="1:7" x14ac:dyDescent="0.25">
      <c r="A12" s="39"/>
      <c r="B12" s="39"/>
      <c r="C12" s="39"/>
      <c r="D12" s="39"/>
      <c r="E12" s="39"/>
      <c r="F12" s="39"/>
      <c r="G12" s="39"/>
    </row>
    <row r="13" spans="1:7" x14ac:dyDescent="0.25">
      <c r="A13" s="39"/>
      <c r="B13" s="39"/>
      <c r="C13" s="39"/>
      <c r="D13" s="39"/>
      <c r="E13" s="39"/>
      <c r="F13" s="39"/>
      <c r="G13" s="39"/>
    </row>
    <row r="14" spans="1:7" ht="15.75" thickBot="1" x14ac:dyDescent="0.3">
      <c r="A14" s="39"/>
      <c r="B14" s="39"/>
      <c r="C14" s="39"/>
      <c r="D14" s="39"/>
      <c r="E14" s="39"/>
      <c r="F14" s="39"/>
      <c r="G14" s="39"/>
    </row>
    <row r="15" spans="1:7" ht="27.75" customHeight="1" thickBot="1" x14ac:dyDescent="0.5">
      <c r="A15" s="39"/>
      <c r="B15" s="3" t="s">
        <v>13</v>
      </c>
      <c r="C15" s="3"/>
      <c r="D15" s="4"/>
      <c r="E15" s="39"/>
      <c r="F15" s="39"/>
      <c r="G15" s="39"/>
    </row>
    <row r="16" spans="1:7" ht="18.75" customHeight="1" thickBot="1" x14ac:dyDescent="0.35">
      <c r="A16" s="39"/>
      <c r="B16" s="24" t="s">
        <v>10</v>
      </c>
      <c r="C16" s="25"/>
      <c r="D16" s="7">
        <v>8000</v>
      </c>
      <c r="E16" s="39"/>
      <c r="F16" s="64" t="s">
        <v>38</v>
      </c>
      <c r="G16" s="39"/>
    </row>
    <row r="17" spans="1:7" ht="19.5" thickBot="1" x14ac:dyDescent="0.35">
      <c r="A17" s="39"/>
      <c r="B17" s="23" t="s">
        <v>11</v>
      </c>
      <c r="C17" s="9"/>
      <c r="D17" s="73">
        <v>0.01</v>
      </c>
      <c r="E17" s="39"/>
      <c r="F17" s="63">
        <v>0.3</v>
      </c>
      <c r="G17" s="39"/>
    </row>
    <row r="18" spans="1:7" ht="19.5" thickBot="1" x14ac:dyDescent="0.35">
      <c r="A18" s="39"/>
      <c r="B18" s="26" t="s">
        <v>12</v>
      </c>
      <c r="C18" s="27"/>
      <c r="D18" s="8">
        <f>D16*$F$17</f>
        <v>2400</v>
      </c>
      <c r="E18" s="39"/>
      <c r="F18" s="39"/>
      <c r="G18" s="39"/>
    </row>
    <row r="19" spans="1:7" ht="15.75" thickBot="1" x14ac:dyDescent="0.3">
      <c r="A19" s="39"/>
      <c r="B19" s="39"/>
      <c r="C19" s="39"/>
      <c r="D19" s="39"/>
      <c r="E19" s="39"/>
      <c r="F19" s="39"/>
      <c r="G19" s="39"/>
    </row>
    <row r="20" spans="1:7" ht="29.25" thickBot="1" x14ac:dyDescent="0.3">
      <c r="A20" s="39"/>
      <c r="B20" s="5" t="s">
        <v>4</v>
      </c>
      <c r="C20" s="5"/>
      <c r="D20" s="6"/>
      <c r="E20" s="39"/>
      <c r="F20" s="39"/>
      <c r="G20" s="39"/>
    </row>
    <row r="21" spans="1:7" ht="20.25" customHeight="1" thickBot="1" x14ac:dyDescent="0.35">
      <c r="A21" s="39"/>
      <c r="B21" s="23" t="s">
        <v>0</v>
      </c>
      <c r="C21" s="9"/>
      <c r="D21" s="10">
        <v>2400</v>
      </c>
      <c r="E21" s="39"/>
      <c r="F21" s="39"/>
      <c r="G21" s="39"/>
    </row>
    <row r="22" spans="1:7" ht="19.5" thickBot="1" x14ac:dyDescent="0.35">
      <c r="A22" s="40">
        <v>2</v>
      </c>
      <c r="B22" s="23" t="s">
        <v>32</v>
      </c>
      <c r="C22" s="9"/>
      <c r="D22" s="11">
        <v>5</v>
      </c>
      <c r="E22" s="39"/>
      <c r="F22" s="39"/>
      <c r="G22" s="39"/>
    </row>
    <row r="23" spans="1:7" ht="19.5" thickBot="1" x14ac:dyDescent="0.35">
      <c r="A23" s="40">
        <v>5</v>
      </c>
      <c r="B23" s="23" t="s">
        <v>1</v>
      </c>
      <c r="C23" s="9"/>
      <c r="D23" s="12">
        <v>1.078E-2</v>
      </c>
      <c r="E23" s="39"/>
      <c r="F23" s="39"/>
      <c r="G23" s="39"/>
    </row>
    <row r="24" spans="1:7" ht="19.5" thickBot="1" x14ac:dyDescent="0.35">
      <c r="A24" s="40">
        <v>10</v>
      </c>
      <c r="B24" s="30" t="s">
        <v>2</v>
      </c>
      <c r="C24" s="28"/>
      <c r="D24" s="18">
        <f>FV(taxa_mensal,ROUND(qtd_anos*12,0),Aporte*-1)</f>
        <v>200999.56690771881</v>
      </c>
      <c r="E24" s="39"/>
      <c r="F24" s="39"/>
      <c r="G24" s="39"/>
    </row>
    <row r="25" spans="1:7" ht="19.5" thickBot="1" x14ac:dyDescent="0.35">
      <c r="A25" s="40">
        <v>20</v>
      </c>
      <c r="B25" s="31" t="s">
        <v>3</v>
      </c>
      <c r="C25" s="29"/>
      <c r="D25" s="19">
        <f>Patrimonio*Rendimento_Carteira</f>
        <v>2009.995669077188</v>
      </c>
      <c r="E25" s="39"/>
      <c r="F25" s="39"/>
      <c r="G25" s="39"/>
    </row>
    <row r="26" spans="1:7" ht="15.75" thickBot="1" x14ac:dyDescent="0.3">
      <c r="A26" s="40">
        <v>30</v>
      </c>
      <c r="B26" s="39"/>
      <c r="C26" s="39"/>
      <c r="D26" s="39"/>
      <c r="E26" s="39"/>
      <c r="F26" s="39"/>
      <c r="G26" s="39"/>
    </row>
    <row r="27" spans="1:7" ht="28.5" x14ac:dyDescent="0.25">
      <c r="A27" s="43"/>
      <c r="B27" s="15" t="s">
        <v>14</v>
      </c>
      <c r="C27" s="16"/>
      <c r="D27" s="17" t="s">
        <v>15</v>
      </c>
      <c r="E27" s="39"/>
      <c r="F27" s="39"/>
      <c r="G27" s="39"/>
    </row>
    <row r="28" spans="1:7" ht="19.5" thickBot="1" x14ac:dyDescent="0.35">
      <c r="A28" s="45">
        <v>2</v>
      </c>
      <c r="B28" s="20" t="s">
        <v>5</v>
      </c>
      <c r="C28" s="13">
        <f>FV(Rendimento_Carteira,ROUND($A28*12,0),Aporte*-1)</f>
        <v>64736.315647659598</v>
      </c>
      <c r="D28" s="14">
        <f>C28*Rendimento_Carteira</f>
        <v>647.36315647659603</v>
      </c>
      <c r="E28" s="39"/>
      <c r="F28" s="39"/>
      <c r="G28" s="39"/>
    </row>
    <row r="29" spans="1:7" ht="19.5" thickBot="1" x14ac:dyDescent="0.35">
      <c r="A29" s="45">
        <v>5</v>
      </c>
      <c r="B29" s="21" t="s">
        <v>6</v>
      </c>
      <c r="C29" s="13">
        <f>FV(Rendimento_Carteira,ROUND($A29*12,0),Aporte*-1)</f>
        <v>196007.20765538191</v>
      </c>
      <c r="D29" s="14">
        <f>C29*Rendimento_Carteira</f>
        <v>1960.072076553819</v>
      </c>
      <c r="E29" s="39"/>
      <c r="F29" s="39"/>
      <c r="G29" s="39"/>
    </row>
    <row r="30" spans="1:7" ht="19.5" thickBot="1" x14ac:dyDescent="0.35">
      <c r="A30" s="45">
        <v>10</v>
      </c>
      <c r="B30" s="21" t="s">
        <v>7</v>
      </c>
      <c r="C30" s="13">
        <f>FV(Rendimento_Carteira,ROUND($A30*12,0),Aporte*-1)</f>
        <v>552092.8546976808</v>
      </c>
      <c r="D30" s="14">
        <f>C30*Rendimento_Carteira</f>
        <v>5520.9285469768083</v>
      </c>
      <c r="E30" s="39"/>
      <c r="F30" s="39"/>
      <c r="G30" s="39"/>
    </row>
    <row r="31" spans="1:7" ht="19.5" thickBot="1" x14ac:dyDescent="0.35">
      <c r="A31" s="45">
        <v>20</v>
      </c>
      <c r="B31" s="21" t="s">
        <v>8</v>
      </c>
      <c r="C31" s="13">
        <f>FV(Rendimento_Carteira,ROUND($A31*12,0),Aporte*-1)</f>
        <v>2374212.876929671</v>
      </c>
      <c r="D31" s="14">
        <f>C31*Rendimento_Carteira</f>
        <v>23742.128769296713</v>
      </c>
      <c r="E31" s="39"/>
      <c r="F31" s="39"/>
      <c r="G31" s="39"/>
    </row>
    <row r="32" spans="1:7" ht="19.5" thickBot="1" x14ac:dyDescent="0.35">
      <c r="A32" s="45">
        <v>30</v>
      </c>
      <c r="B32" s="22" t="s">
        <v>9</v>
      </c>
      <c r="C32" s="46">
        <f>FV(Rendimento_Carteira,ROUND($A32*12,0),Aporte*-1)</f>
        <v>8387913.9186444152</v>
      </c>
      <c r="D32" s="42">
        <f>C32*Rendimento_Carteira</f>
        <v>83879.139186444154</v>
      </c>
      <c r="E32" s="39"/>
      <c r="F32" s="39"/>
      <c r="G32" s="39"/>
    </row>
    <row r="33" spans="1:7" x14ac:dyDescent="0.25">
      <c r="A33" s="39"/>
      <c r="B33" s="39"/>
      <c r="C33" s="39"/>
      <c r="D33" s="39"/>
      <c r="E33" s="39"/>
      <c r="F33" s="39"/>
      <c r="G33" s="39"/>
    </row>
    <row r="34" spans="1:7" x14ac:dyDescent="0.25">
      <c r="A34" s="39"/>
      <c r="B34" s="39"/>
      <c r="C34" s="39"/>
      <c r="D34" s="39"/>
      <c r="E34" s="39"/>
      <c r="F34" s="39"/>
      <c r="G34" s="39"/>
    </row>
    <row r="35" spans="1:7" x14ac:dyDescent="0.25">
      <c r="A35" s="39"/>
      <c r="B35" s="39"/>
      <c r="C35" s="39"/>
      <c r="D35" s="39"/>
      <c r="E35" s="39"/>
      <c r="F35" s="39"/>
      <c r="G35" s="39"/>
    </row>
    <row r="36" spans="1:7" x14ac:dyDescent="0.25">
      <c r="A36" s="39"/>
      <c r="B36" s="39"/>
      <c r="C36" s="39"/>
      <c r="D36" s="39"/>
      <c r="E36" s="39"/>
      <c r="F36" s="39"/>
      <c r="G36" s="39"/>
    </row>
    <row r="37" spans="1:7" x14ac:dyDescent="0.25">
      <c r="A37" s="39"/>
      <c r="B37" s="39"/>
      <c r="C37" s="39"/>
      <c r="D37" s="39"/>
      <c r="E37" s="39"/>
      <c r="F37" s="39"/>
      <c r="G37" s="39"/>
    </row>
    <row r="38" spans="1:7" x14ac:dyDescent="0.25">
      <c r="A38" s="39"/>
      <c r="B38" s="39"/>
      <c r="C38" s="39"/>
      <c r="D38" s="39"/>
      <c r="E38" s="39"/>
      <c r="F38" s="39"/>
      <c r="G38" s="39"/>
    </row>
    <row r="39" spans="1:7" x14ac:dyDescent="0.25">
      <c r="A39" s="39"/>
      <c r="B39" s="39"/>
      <c r="C39" s="39"/>
      <c r="D39" s="39"/>
      <c r="E39" s="39"/>
      <c r="F39" s="39"/>
      <c r="G39" s="39"/>
    </row>
    <row r="40" spans="1:7" x14ac:dyDescent="0.25">
      <c r="A40" s="39"/>
      <c r="B40" s="39"/>
      <c r="C40" s="39"/>
      <c r="D40" s="39"/>
      <c r="E40" s="39"/>
      <c r="F40" s="39"/>
      <c r="G40" s="39"/>
    </row>
    <row r="41" spans="1:7" x14ac:dyDescent="0.25">
      <c r="A41" s="39"/>
      <c r="B41" s="39"/>
      <c r="C41" s="39"/>
      <c r="D41" s="39"/>
      <c r="E41" s="39"/>
      <c r="F41" s="39"/>
      <c r="G41" s="39"/>
    </row>
    <row r="42" spans="1:7" x14ac:dyDescent="0.25">
      <c r="A42" s="39"/>
      <c r="B42" s="39"/>
      <c r="C42" s="39"/>
      <c r="D42" s="39"/>
      <c r="E42" s="39"/>
      <c r="F42" s="39"/>
      <c r="G42" s="39"/>
    </row>
    <row r="43" spans="1:7" x14ac:dyDescent="0.25">
      <c r="A43" s="39"/>
      <c r="B43" s="39"/>
      <c r="C43" s="39"/>
      <c r="D43" s="39"/>
      <c r="E43" s="39"/>
      <c r="F43" s="39"/>
      <c r="G43" s="39"/>
    </row>
    <row r="44" spans="1:7" x14ac:dyDescent="0.25">
      <c r="A44" s="39"/>
      <c r="B44" s="39"/>
      <c r="C44" s="39"/>
      <c r="D44" s="39"/>
      <c r="E44" s="39"/>
      <c r="F44" s="39"/>
      <c r="G44" s="39"/>
    </row>
    <row r="45" spans="1:7" x14ac:dyDescent="0.25">
      <c r="A45" s="39"/>
      <c r="B45" s="39"/>
      <c r="C45" s="39"/>
      <c r="D45" s="39"/>
      <c r="E45" s="39"/>
      <c r="F45" s="39"/>
      <c r="G45" s="39"/>
    </row>
    <row r="46" spans="1:7" x14ac:dyDescent="0.25">
      <c r="A46" s="39"/>
      <c r="B46" s="39"/>
      <c r="C46" s="39"/>
      <c r="D46" s="39"/>
      <c r="E46" s="39"/>
      <c r="F46" s="39"/>
      <c r="G46" s="39"/>
    </row>
    <row r="47" spans="1:7" x14ac:dyDescent="0.25">
      <c r="A47" s="39"/>
      <c r="B47" s="39"/>
      <c r="C47" s="39"/>
      <c r="D47" s="39"/>
      <c r="E47" s="39"/>
      <c r="F47" s="39"/>
      <c r="G47" s="39"/>
    </row>
    <row r="48" spans="1:7" x14ac:dyDescent="0.25">
      <c r="A48" s="39"/>
      <c r="B48" s="39"/>
      <c r="C48" s="39"/>
      <c r="D48" s="39"/>
      <c r="E48" s="39"/>
      <c r="F48" s="39"/>
      <c r="G48" s="39"/>
    </row>
    <row r="49" spans="1:7" x14ac:dyDescent="0.25">
      <c r="A49" s="39"/>
      <c r="B49" s="39"/>
      <c r="C49" s="39"/>
      <c r="D49" s="39"/>
      <c r="E49" s="39"/>
      <c r="F49" s="39"/>
      <c r="G49" s="39"/>
    </row>
    <row r="50" spans="1:7" ht="15.75" thickBot="1" x14ac:dyDescent="0.3">
      <c r="A50" s="39"/>
      <c r="B50" s="39"/>
      <c r="C50" s="39"/>
      <c r="D50" s="39"/>
      <c r="E50" s="39"/>
      <c r="F50" s="39"/>
      <c r="G50" s="39"/>
    </row>
    <row r="51" spans="1:7" ht="18.75" x14ac:dyDescent="0.3">
      <c r="A51" s="39"/>
      <c r="B51" s="58" t="s">
        <v>39</v>
      </c>
      <c r="C51" s="59" t="s">
        <v>29</v>
      </c>
      <c r="D51" s="60"/>
      <c r="E51" s="39"/>
      <c r="F51" s="39"/>
      <c r="G51" s="39"/>
    </row>
    <row r="52" spans="1:7" ht="15.75" thickBot="1" x14ac:dyDescent="0.3">
      <c r="A52" s="39"/>
      <c r="B52" s="47" t="s">
        <v>16</v>
      </c>
      <c r="C52" s="61">
        <v>500</v>
      </c>
      <c r="D52" s="62"/>
      <c r="E52" s="39"/>
      <c r="F52" s="39"/>
      <c r="G52" s="39"/>
    </row>
    <row r="53" spans="1:7" ht="15.75" thickBot="1" x14ac:dyDescent="0.3">
      <c r="A53" s="39"/>
      <c r="B53" s="39"/>
      <c r="C53" s="39"/>
      <c r="D53" s="39"/>
      <c r="E53" s="39"/>
      <c r="F53" s="39"/>
      <c r="G53" s="39"/>
    </row>
    <row r="54" spans="1:7" x14ac:dyDescent="0.25">
      <c r="A54" s="39"/>
      <c r="B54" s="49" t="s">
        <v>17</v>
      </c>
      <c r="C54" s="50" t="s">
        <v>24</v>
      </c>
      <c r="D54" s="51" t="s">
        <v>25</v>
      </c>
      <c r="E54" s="39"/>
      <c r="F54" s="39"/>
      <c r="G54" s="39"/>
    </row>
    <row r="55" spans="1:7" x14ac:dyDescent="0.25">
      <c r="A55" s="39"/>
      <c r="B55" s="52" t="s">
        <v>18</v>
      </c>
      <c r="C55" s="53">
        <f>VLOOKUP($C$51&amp;"-"&amp;B55,Tabela_suporte!$A$4:$D$21,4,FALSE)</f>
        <v>0.32</v>
      </c>
      <c r="D55" s="54">
        <f>C55*$C$52</f>
        <v>160</v>
      </c>
      <c r="E55" s="39"/>
      <c r="F55" s="39"/>
      <c r="G55" s="39"/>
    </row>
    <row r="56" spans="1:7" x14ac:dyDescent="0.25">
      <c r="A56" s="39"/>
      <c r="B56" s="52" t="s">
        <v>19</v>
      </c>
      <c r="C56" s="53">
        <f>VLOOKUP($C$51&amp;"-"&amp;B56,Tabela_suporte!$A$4:$D$21,4,FALSE)</f>
        <v>0.35</v>
      </c>
      <c r="D56" s="54">
        <f t="shared" ref="D56:D60" si="0">C56*$C$52</f>
        <v>175</v>
      </c>
      <c r="E56" s="39"/>
      <c r="F56" s="39"/>
      <c r="G56" s="39"/>
    </row>
    <row r="57" spans="1:7" x14ac:dyDescent="0.25">
      <c r="A57" s="39"/>
      <c r="B57" s="52" t="s">
        <v>20</v>
      </c>
      <c r="C57" s="53">
        <f>VLOOKUP($C$51&amp;"-"&amp;B57,Tabela_suporte!$A$4:$D$21,4,FALSE)</f>
        <v>0.08</v>
      </c>
      <c r="D57" s="54">
        <f t="shared" si="0"/>
        <v>40</v>
      </c>
      <c r="E57" s="39"/>
      <c r="F57" s="39"/>
      <c r="G57" s="39"/>
    </row>
    <row r="58" spans="1:7" x14ac:dyDescent="0.25">
      <c r="A58" s="39"/>
      <c r="B58" s="52" t="s">
        <v>21</v>
      </c>
      <c r="C58" s="53">
        <f>VLOOKUP($C$51&amp;"-"&amp;B58,Tabela_suporte!$A$4:$D$21,4,FALSE)</f>
        <v>0.05</v>
      </c>
      <c r="D58" s="54">
        <f t="shared" si="0"/>
        <v>25</v>
      </c>
      <c r="E58" s="39"/>
      <c r="F58" s="44" t="s">
        <v>33</v>
      </c>
      <c r="G58" s="39"/>
    </row>
    <row r="59" spans="1:7" x14ac:dyDescent="0.25">
      <c r="A59" s="39"/>
      <c r="B59" s="52" t="s">
        <v>22</v>
      </c>
      <c r="C59" s="53">
        <f>VLOOKUP($C$51&amp;"-"&amp;B59,Tabela_suporte!$A$4:$D$21,4,FALSE)</f>
        <v>0.1</v>
      </c>
      <c r="D59" s="54">
        <f t="shared" si="0"/>
        <v>50</v>
      </c>
      <c r="E59" s="39"/>
      <c r="F59" s="39"/>
      <c r="G59" s="39"/>
    </row>
    <row r="60" spans="1:7" ht="15.75" thickBot="1" x14ac:dyDescent="0.3">
      <c r="A60" s="39"/>
      <c r="B60" s="55" t="s">
        <v>23</v>
      </c>
      <c r="C60" s="56">
        <f>VLOOKUP($C$51&amp;"-"&amp;B60,Tabela_suporte!$A$4:$D$21,4,FALSE)</f>
        <v>0.1</v>
      </c>
      <c r="D60" s="57">
        <f t="shared" si="0"/>
        <v>50</v>
      </c>
      <c r="E60" s="39"/>
      <c r="F60" s="39"/>
      <c r="G60" s="39"/>
    </row>
    <row r="61" spans="1:7" x14ac:dyDescent="0.25">
      <c r="A61" s="39"/>
      <c r="B61" s="39"/>
      <c r="C61" s="39"/>
      <c r="D61" s="39"/>
      <c r="E61" s="39"/>
      <c r="F61" s="39"/>
      <c r="G61" s="39"/>
    </row>
    <row r="62" spans="1:7" x14ac:dyDescent="0.25">
      <c r="A62" s="39"/>
      <c r="B62" s="39"/>
      <c r="C62" s="39"/>
      <c r="D62" s="39"/>
      <c r="E62" s="39"/>
      <c r="F62" s="39"/>
      <c r="G62" s="39"/>
    </row>
    <row r="63" spans="1:7" x14ac:dyDescent="0.25">
      <c r="A63" s="39"/>
      <c r="B63" s="39"/>
      <c r="C63" s="39"/>
      <c r="D63" s="39"/>
      <c r="E63" s="39"/>
      <c r="F63" s="39"/>
      <c r="G63" s="39"/>
    </row>
    <row r="64" spans="1:7" x14ac:dyDescent="0.25">
      <c r="A64" s="39"/>
      <c r="B64" s="39"/>
      <c r="C64" s="39"/>
      <c r="D64" s="39"/>
      <c r="E64" s="39"/>
      <c r="F64" s="39"/>
      <c r="G64" s="39"/>
    </row>
    <row r="65" spans="1:7" x14ac:dyDescent="0.25">
      <c r="A65" s="39"/>
      <c r="B65" s="39"/>
      <c r="C65" s="39"/>
      <c r="D65" s="39"/>
      <c r="E65" s="39"/>
      <c r="F65" s="39"/>
      <c r="G65" s="39"/>
    </row>
    <row r="66" spans="1:7" x14ac:dyDescent="0.25">
      <c r="A66" s="39"/>
      <c r="B66" s="39"/>
      <c r="C66" s="39"/>
      <c r="D66" s="39"/>
      <c r="E66" s="39"/>
      <c r="F66" s="39"/>
      <c r="G66" s="39"/>
    </row>
    <row r="67" spans="1:7" x14ac:dyDescent="0.25">
      <c r="A67" s="39"/>
      <c r="B67" s="39"/>
      <c r="C67" s="39"/>
      <c r="D67" s="39"/>
      <c r="E67" s="39"/>
      <c r="F67" s="39"/>
      <c r="G67" s="39"/>
    </row>
    <row r="68" spans="1:7" x14ac:dyDescent="0.25">
      <c r="A68" s="39"/>
      <c r="B68" s="39"/>
      <c r="C68" s="39"/>
      <c r="D68" s="39"/>
      <c r="E68" s="39"/>
      <c r="F68" s="39"/>
      <c r="G68" s="39"/>
    </row>
    <row r="69" spans="1:7" x14ac:dyDescent="0.25">
      <c r="A69" s="39"/>
      <c r="B69" s="39"/>
      <c r="C69" s="39"/>
      <c r="D69" s="39"/>
      <c r="E69" s="39"/>
      <c r="F69" s="39"/>
      <c r="G69" s="39"/>
    </row>
    <row r="70" spans="1:7" x14ac:dyDescent="0.25">
      <c r="A70" s="39"/>
      <c r="B70" s="39"/>
      <c r="C70" s="39"/>
      <c r="D70" s="39"/>
      <c r="E70" s="39"/>
      <c r="F70" s="39"/>
      <c r="G70" s="39"/>
    </row>
    <row r="71" spans="1:7" x14ac:dyDescent="0.25">
      <c r="A71" s="39"/>
      <c r="B71" s="39"/>
      <c r="C71" s="39"/>
      <c r="D71" s="39"/>
      <c r="E71" s="39"/>
      <c r="F71" s="39"/>
      <c r="G71" s="39"/>
    </row>
    <row r="72" spans="1:7" x14ac:dyDescent="0.25">
      <c r="A72" s="39"/>
      <c r="B72" s="39"/>
      <c r="C72" s="39"/>
      <c r="D72" s="39"/>
      <c r="E72" s="39"/>
      <c r="F72" s="39"/>
      <c r="G72" s="39"/>
    </row>
    <row r="73" spans="1:7" x14ac:dyDescent="0.25">
      <c r="A73" s="39"/>
      <c r="B73" s="39"/>
      <c r="C73" s="39"/>
      <c r="D73" s="39"/>
      <c r="E73" s="39"/>
      <c r="F73" s="39"/>
      <c r="G73" s="39"/>
    </row>
    <row r="74" spans="1:7" x14ac:dyDescent="0.25">
      <c r="A74" s="39"/>
      <c r="B74" s="39"/>
      <c r="C74" s="39"/>
      <c r="D74" s="39"/>
      <c r="E74" s="39"/>
      <c r="F74" s="39"/>
      <c r="G74" s="39"/>
    </row>
    <row r="75" spans="1:7" x14ac:dyDescent="0.25">
      <c r="A75" s="39"/>
      <c r="B75" s="39"/>
      <c r="C75" s="39"/>
      <c r="D75" s="39"/>
      <c r="E75" s="39"/>
      <c r="F75" s="39"/>
      <c r="G75" s="39"/>
    </row>
    <row r="76" spans="1:7" x14ac:dyDescent="0.25">
      <c r="A76" s="39"/>
      <c r="B76" s="39"/>
      <c r="C76" s="39"/>
      <c r="D76" s="39"/>
      <c r="E76" s="39"/>
      <c r="F76" s="39"/>
      <c r="G76" s="39"/>
    </row>
    <row r="77" spans="1:7" x14ac:dyDescent="0.25">
      <c r="A77" s="39"/>
      <c r="B77" s="39"/>
      <c r="C77" s="39"/>
      <c r="D77" s="39"/>
      <c r="E77" s="39"/>
      <c r="F77" s="39"/>
      <c r="G77" s="39"/>
    </row>
    <row r="78" spans="1:7" x14ac:dyDescent="0.25">
      <c r="A78" s="39"/>
      <c r="B78" s="39"/>
      <c r="C78" s="39"/>
      <c r="D78" s="39"/>
      <c r="E78" s="39"/>
      <c r="F78" s="39"/>
      <c r="G78" s="39"/>
    </row>
    <row r="79" spans="1:7" x14ac:dyDescent="0.25">
      <c r="A79" s="39"/>
      <c r="B79" s="39"/>
      <c r="C79" s="39"/>
      <c r="D79" s="39"/>
      <c r="E79" s="39"/>
      <c r="F79" s="39"/>
      <c r="G79" s="39"/>
    </row>
    <row r="80" spans="1:7" x14ac:dyDescent="0.25">
      <c r="A80" s="39"/>
      <c r="B80" s="39"/>
      <c r="C80" s="39"/>
      <c r="D80" s="39"/>
      <c r="E80" s="39"/>
      <c r="F80" s="39"/>
      <c r="G80" s="39"/>
    </row>
    <row r="81" spans="1:7" ht="15.75" thickBot="1" x14ac:dyDescent="0.3">
      <c r="A81" s="39"/>
      <c r="B81" s="39"/>
      <c r="C81" s="39"/>
      <c r="D81" s="39"/>
      <c r="E81" s="39"/>
      <c r="F81" s="39"/>
      <c r="G81" s="39"/>
    </row>
    <row r="82" spans="1:7" ht="18.75" x14ac:dyDescent="0.3">
      <c r="A82" s="39"/>
      <c r="B82" s="58" t="s">
        <v>39</v>
      </c>
      <c r="C82" s="59" t="s">
        <v>29</v>
      </c>
      <c r="D82" s="60"/>
      <c r="E82" s="39"/>
      <c r="F82" s="39"/>
      <c r="G82" s="39"/>
    </row>
    <row r="83" spans="1:7" ht="15.75" thickBot="1" x14ac:dyDescent="0.3">
      <c r="A83" s="39"/>
      <c r="B83" s="47" t="s">
        <v>41</v>
      </c>
      <c r="C83" s="61">
        <f>D18</f>
        <v>2400</v>
      </c>
      <c r="D83" s="62"/>
      <c r="E83" s="39"/>
      <c r="F83" s="39"/>
      <c r="G83" s="39"/>
    </row>
    <row r="84" spans="1:7" ht="15.75" thickBot="1" x14ac:dyDescent="0.3">
      <c r="A84" s="39"/>
      <c r="B84" s="39"/>
      <c r="C84" s="39"/>
      <c r="D84" s="39"/>
      <c r="E84" s="65"/>
      <c r="F84" s="39"/>
      <c r="G84" s="39"/>
    </row>
    <row r="85" spans="1:7" x14ac:dyDescent="0.25">
      <c r="A85" s="39"/>
      <c r="B85" s="49" t="s">
        <v>17</v>
      </c>
      <c r="C85" s="50" t="s">
        <v>24</v>
      </c>
      <c r="D85" s="51" t="s">
        <v>25</v>
      </c>
      <c r="E85" s="39"/>
      <c r="F85" s="39"/>
      <c r="G85" s="39"/>
    </row>
    <row r="86" spans="1:7" x14ac:dyDescent="0.25">
      <c r="A86" s="39"/>
      <c r="B86" s="52" t="s">
        <v>18</v>
      </c>
      <c r="C86" s="53">
        <f>VLOOKUP($C$82&amp;"-"&amp;B86,Tabela_suporte!$A$4:$D$21,4,FALSE)</f>
        <v>0.32</v>
      </c>
      <c r="D86" s="54">
        <f>C86*$C$83</f>
        <v>768</v>
      </c>
      <c r="E86" s="39"/>
      <c r="F86" s="39"/>
      <c r="G86" s="39"/>
    </row>
    <row r="87" spans="1:7" x14ac:dyDescent="0.25">
      <c r="A87" s="39"/>
      <c r="B87" s="52" t="s">
        <v>19</v>
      </c>
      <c r="C87" s="53">
        <f>VLOOKUP($C$82&amp;"-"&amp;B87,Tabela_suporte!$A$4:$D$21,4,FALSE)</f>
        <v>0.35</v>
      </c>
      <c r="D87" s="54">
        <f t="shared" ref="D87:D91" si="1">C87*$C$83</f>
        <v>840</v>
      </c>
      <c r="E87" s="39"/>
      <c r="F87" s="39"/>
      <c r="G87" s="39"/>
    </row>
    <row r="88" spans="1:7" x14ac:dyDescent="0.25">
      <c r="A88" s="39"/>
      <c r="B88" s="52" t="s">
        <v>20</v>
      </c>
      <c r="C88" s="53">
        <f>VLOOKUP($C$82&amp;"-"&amp;B88,Tabela_suporte!$A$4:$D$21,4,FALSE)</f>
        <v>0.08</v>
      </c>
      <c r="D88" s="54">
        <f t="shared" si="1"/>
        <v>192</v>
      </c>
      <c r="E88" s="39"/>
      <c r="F88" s="39"/>
      <c r="G88" s="39"/>
    </row>
    <row r="89" spans="1:7" x14ac:dyDescent="0.25">
      <c r="A89" s="39"/>
      <c r="B89" s="52" t="s">
        <v>21</v>
      </c>
      <c r="C89" s="53">
        <f>VLOOKUP($C$82&amp;"-"&amp;B89,Tabela_suporte!$A$4:$D$21,4,FALSE)</f>
        <v>0.05</v>
      </c>
      <c r="D89" s="54">
        <f t="shared" si="1"/>
        <v>120</v>
      </c>
      <c r="E89" s="39"/>
      <c r="F89" s="39"/>
      <c r="G89" s="39"/>
    </row>
    <row r="90" spans="1:7" x14ac:dyDescent="0.25">
      <c r="A90" s="39"/>
      <c r="B90" s="52" t="s">
        <v>22</v>
      </c>
      <c r="C90" s="53">
        <f>VLOOKUP($C$82&amp;"-"&amp;B90,Tabela_suporte!$A$4:$D$21,4,FALSE)</f>
        <v>0.1</v>
      </c>
      <c r="D90" s="54">
        <f t="shared" si="1"/>
        <v>240</v>
      </c>
      <c r="E90" s="39"/>
      <c r="F90" s="39"/>
      <c r="G90" s="39"/>
    </row>
    <row r="91" spans="1:7" ht="15.75" thickBot="1" x14ac:dyDescent="0.3">
      <c r="A91" s="39"/>
      <c r="B91" s="55" t="s">
        <v>23</v>
      </c>
      <c r="C91" s="56">
        <f>VLOOKUP($C$82&amp;"-"&amp;B91,Tabela_suporte!$A$4:$D$21,4,FALSE)</f>
        <v>0.1</v>
      </c>
      <c r="D91" s="57">
        <f t="shared" si="1"/>
        <v>240</v>
      </c>
      <c r="E91" s="39"/>
      <c r="F91" s="39"/>
      <c r="G91" s="39"/>
    </row>
    <row r="92" spans="1:7" x14ac:dyDescent="0.25">
      <c r="A92" s="39"/>
      <c r="B92" s="39"/>
      <c r="C92" s="39"/>
      <c r="D92" s="39"/>
      <c r="E92" s="39"/>
      <c r="F92" s="39"/>
      <c r="G92" s="39"/>
    </row>
    <row r="93" spans="1:7" x14ac:dyDescent="0.25">
      <c r="A93" s="39"/>
      <c r="B93" s="39"/>
      <c r="C93" s="39"/>
      <c r="D93" s="39"/>
      <c r="E93" s="39"/>
      <c r="F93" s="39"/>
      <c r="G93" s="39"/>
    </row>
    <row r="94" spans="1:7" x14ac:dyDescent="0.25">
      <c r="A94" s="39"/>
      <c r="B94" s="39"/>
      <c r="C94" s="39"/>
      <c r="D94" s="39"/>
      <c r="E94" s="39"/>
      <c r="F94" s="39"/>
      <c r="G94" s="39"/>
    </row>
    <row r="95" spans="1:7" x14ac:dyDescent="0.25">
      <c r="A95" s="39"/>
      <c r="B95" s="39"/>
      <c r="C95" s="39"/>
      <c r="D95" s="39"/>
      <c r="E95" s="39"/>
      <c r="F95" s="39"/>
      <c r="G95" s="39"/>
    </row>
    <row r="96" spans="1:7" x14ac:dyDescent="0.25">
      <c r="A96" s="39"/>
      <c r="B96" s="39"/>
      <c r="C96" s="39"/>
      <c r="D96" s="39"/>
      <c r="E96" s="39"/>
      <c r="F96" s="39"/>
      <c r="G96" s="39"/>
    </row>
    <row r="97" spans="1:7" x14ac:dyDescent="0.25">
      <c r="A97" s="39"/>
      <c r="B97" s="39"/>
      <c r="C97" s="39"/>
      <c r="D97" s="39"/>
      <c r="E97" s="39"/>
      <c r="F97" s="39"/>
      <c r="G97" s="39"/>
    </row>
    <row r="98" spans="1:7" x14ac:dyDescent="0.25">
      <c r="A98" s="39"/>
      <c r="B98" s="39"/>
      <c r="C98" s="39"/>
      <c r="D98" s="39"/>
      <c r="E98" s="39"/>
      <c r="F98" s="39"/>
      <c r="G98" s="39"/>
    </row>
    <row r="99" spans="1:7" x14ac:dyDescent="0.25">
      <c r="A99" s="39"/>
      <c r="B99" s="39"/>
      <c r="C99" s="39"/>
      <c r="D99" s="39"/>
      <c r="E99" s="39"/>
      <c r="F99" s="39"/>
      <c r="G99" s="39"/>
    </row>
    <row r="100" spans="1:7" x14ac:dyDescent="0.25">
      <c r="A100" s="39"/>
      <c r="B100" s="39"/>
      <c r="C100" s="39"/>
      <c r="D100" s="39"/>
      <c r="E100" s="39"/>
      <c r="F100" s="39"/>
      <c r="G100" s="39"/>
    </row>
    <row r="101" spans="1:7" x14ac:dyDescent="0.25">
      <c r="A101" s="39"/>
      <c r="B101" s="39"/>
      <c r="C101" s="39"/>
      <c r="D101" s="39"/>
      <c r="E101" s="39"/>
      <c r="F101" s="39"/>
      <c r="G101" s="39"/>
    </row>
    <row r="102" spans="1:7" x14ac:dyDescent="0.25">
      <c r="A102" s="39" t="s">
        <v>40</v>
      </c>
      <c r="B102" s="39"/>
      <c r="C102" s="39"/>
      <c r="D102" s="39"/>
      <c r="E102" s="39"/>
      <c r="F102" s="39"/>
      <c r="G102" s="39"/>
    </row>
    <row r="103" spans="1:7" x14ac:dyDescent="0.25">
      <c r="A103" s="39"/>
      <c r="B103" s="39"/>
      <c r="C103" s="39"/>
      <c r="D103" s="39"/>
      <c r="E103" s="39"/>
      <c r="F103" s="39"/>
      <c r="G103" s="39"/>
    </row>
    <row r="104" spans="1:7" x14ac:dyDescent="0.25">
      <c r="A104" s="39"/>
      <c r="B104" s="39"/>
      <c r="C104" s="39"/>
      <c r="D104" s="39"/>
      <c r="E104" s="39"/>
      <c r="F104" s="39"/>
      <c r="G104" s="39"/>
    </row>
    <row r="105" spans="1:7" x14ac:dyDescent="0.25">
      <c r="A105" s="39"/>
      <c r="B105" s="39"/>
      <c r="C105" s="39"/>
      <c r="D105" s="39"/>
      <c r="E105" s="39"/>
      <c r="F105" s="39"/>
      <c r="G105" s="39"/>
    </row>
    <row r="106" spans="1:7" x14ac:dyDescent="0.25">
      <c r="A106" s="39"/>
      <c r="B106" s="39"/>
      <c r="C106" s="39"/>
      <c r="D106" s="39"/>
      <c r="E106" s="39"/>
      <c r="F106" s="39"/>
      <c r="G106" s="39"/>
    </row>
    <row r="107" spans="1:7" s="39" customFormat="1" x14ac:dyDescent="0.25"/>
    <row r="108" spans="1:7" s="39" customFormat="1" x14ac:dyDescent="0.25"/>
    <row r="109" spans="1:7" s="39" customFormat="1" x14ac:dyDescent="0.25"/>
    <row r="110" spans="1:7" s="39" customFormat="1" x14ac:dyDescent="0.25"/>
    <row r="111" spans="1:7" s="39" customFormat="1" x14ac:dyDescent="0.25"/>
    <row r="112" spans="1:7" s="39" customFormat="1" x14ac:dyDescent="0.25"/>
    <row r="113" s="39" customFormat="1" x14ac:dyDescent="0.25"/>
    <row r="114" s="39" customFormat="1" x14ac:dyDescent="0.25"/>
    <row r="115" s="39" customFormat="1" x14ac:dyDescent="0.25"/>
    <row r="116" s="39" customFormat="1" x14ac:dyDescent="0.25"/>
    <row r="117" s="39" customFormat="1" x14ac:dyDescent="0.25"/>
    <row r="118" s="39" customFormat="1" x14ac:dyDescent="0.25"/>
    <row r="119" s="39" customFormat="1" x14ac:dyDescent="0.25"/>
    <row r="120" s="39" customFormat="1" x14ac:dyDescent="0.25"/>
    <row r="121" s="39" customFormat="1" x14ac:dyDescent="0.25"/>
    <row r="122" s="39" customFormat="1" x14ac:dyDescent="0.25"/>
    <row r="123" s="39" customFormat="1" x14ac:dyDescent="0.25"/>
    <row r="124" s="39" customFormat="1" x14ac:dyDescent="0.25"/>
    <row r="125" s="39" customFormat="1" x14ac:dyDescent="0.25"/>
    <row r="126" s="39" customFormat="1" x14ac:dyDescent="0.25"/>
    <row r="127" s="39" customFormat="1" x14ac:dyDescent="0.25"/>
    <row r="128" s="39" customFormat="1" x14ac:dyDescent="0.25"/>
    <row r="129" spans="1:7" s="39" customFormat="1" x14ac:dyDescent="0.25"/>
    <row r="130" spans="1:7" s="39" customFormat="1" x14ac:dyDescent="0.25"/>
    <row r="131" spans="1:7" s="39" customFormat="1" x14ac:dyDescent="0.25"/>
    <row r="132" spans="1:7" s="39" customFormat="1" x14ac:dyDescent="0.25"/>
    <row r="133" spans="1:7" x14ac:dyDescent="0.25">
      <c r="A133" s="39"/>
      <c r="B133" s="39"/>
      <c r="C133" s="39"/>
      <c r="D133" s="39"/>
      <c r="E133" s="39"/>
      <c r="F133" s="39"/>
      <c r="G133" s="39"/>
    </row>
    <row r="134" spans="1:7" x14ac:dyDescent="0.25">
      <c r="A134" s="39"/>
      <c r="B134" s="39"/>
      <c r="C134" s="39"/>
      <c r="D134" s="39"/>
      <c r="E134" s="39"/>
      <c r="F134" s="39"/>
      <c r="G134" s="39"/>
    </row>
    <row r="135" spans="1:7" x14ac:dyDescent="0.25">
      <c r="A135" s="39"/>
      <c r="B135" s="39"/>
      <c r="C135" s="39"/>
      <c r="D135" s="39"/>
      <c r="E135" s="39"/>
      <c r="F135" s="39"/>
      <c r="G135" s="39"/>
    </row>
    <row r="136" spans="1:7" x14ac:dyDescent="0.25">
      <c r="A136" s="39"/>
      <c r="B136" s="39"/>
      <c r="C136" s="39"/>
      <c r="D136" s="39"/>
      <c r="E136" s="39"/>
      <c r="F136" s="39"/>
      <c r="G136" s="39"/>
    </row>
    <row r="137" spans="1:7" x14ac:dyDescent="0.25">
      <c r="A137" s="39"/>
      <c r="B137" s="39"/>
      <c r="C137" s="39"/>
      <c r="D137" s="39"/>
      <c r="E137" s="39"/>
      <c r="F137" s="39"/>
      <c r="G137" s="39"/>
    </row>
    <row r="138" spans="1:7" x14ac:dyDescent="0.25">
      <c r="A138" s="39"/>
      <c r="B138" s="39"/>
      <c r="C138" s="39"/>
      <c r="D138" s="39"/>
      <c r="E138" s="39"/>
      <c r="F138" s="39"/>
      <c r="G138" s="39"/>
    </row>
    <row r="139" spans="1:7" x14ac:dyDescent="0.25">
      <c r="A139" s="39"/>
      <c r="B139" s="39"/>
      <c r="C139" s="39"/>
      <c r="D139" s="39"/>
      <c r="E139" s="39"/>
      <c r="F139" s="39"/>
      <c r="G139" s="39"/>
    </row>
    <row r="140" spans="1:7" x14ac:dyDescent="0.25">
      <c r="A140" s="39"/>
      <c r="B140" s="39"/>
      <c r="C140" s="39"/>
      <c r="D140" s="39"/>
      <c r="E140" s="39"/>
      <c r="F140" s="39"/>
      <c r="G140" s="39"/>
    </row>
    <row r="141" spans="1:7" x14ac:dyDescent="0.25">
      <c r="A141" s="39"/>
      <c r="B141" s="39"/>
      <c r="C141" s="39"/>
      <c r="D141" s="39"/>
      <c r="E141" s="39"/>
      <c r="F141" s="39"/>
      <c r="G141" s="39"/>
    </row>
    <row r="142" spans="1:7" x14ac:dyDescent="0.25">
      <c r="A142" s="39"/>
      <c r="B142" s="39"/>
      <c r="C142" s="39"/>
      <c r="D142" s="39"/>
      <c r="E142" s="39"/>
      <c r="F142" s="39"/>
      <c r="G142" s="39"/>
    </row>
    <row r="143" spans="1:7" x14ac:dyDescent="0.25">
      <c r="A143" s="39"/>
      <c r="B143" s="39"/>
      <c r="C143" s="39"/>
      <c r="D143" s="39"/>
      <c r="E143" s="39"/>
      <c r="F143" s="39"/>
      <c r="G143" s="39"/>
    </row>
    <row r="144" spans="1:7" x14ac:dyDescent="0.25">
      <c r="A144" s="39"/>
      <c r="B144" s="39"/>
      <c r="C144" s="39"/>
      <c r="D144" s="39"/>
      <c r="E144" s="39"/>
      <c r="F144" s="39"/>
      <c r="G144" s="39"/>
    </row>
    <row r="145" spans="1:7" x14ac:dyDescent="0.25">
      <c r="A145" s="39"/>
      <c r="B145" s="39"/>
      <c r="C145" s="39"/>
      <c r="D145" s="39"/>
      <c r="E145" s="39"/>
      <c r="F145" s="39"/>
      <c r="G145" s="39"/>
    </row>
    <row r="146" spans="1:7" x14ac:dyDescent="0.25">
      <c r="A146" s="39"/>
      <c r="B146" s="39"/>
      <c r="C146" s="39"/>
      <c r="D146" s="39"/>
      <c r="E146" s="39"/>
      <c r="F146" s="39"/>
      <c r="G146" s="39"/>
    </row>
    <row r="147" spans="1:7" x14ac:dyDescent="0.25">
      <c r="A147" s="39"/>
      <c r="B147" s="39"/>
      <c r="C147" s="39"/>
      <c r="D147" s="39"/>
      <c r="E147" s="39"/>
      <c r="F147" s="39"/>
      <c r="G147" s="39"/>
    </row>
    <row r="166" spans="2:3" ht="18.75" x14ac:dyDescent="0.3">
      <c r="B166" s="67"/>
      <c r="C166" s="1"/>
    </row>
    <row r="167" spans="2:3" ht="18.75" x14ac:dyDescent="0.3">
      <c r="B167" s="67"/>
      <c r="C167" s="1"/>
    </row>
    <row r="168" spans="2:3" ht="18.75" x14ac:dyDescent="0.3">
      <c r="B168" s="67"/>
      <c r="C168" s="1"/>
    </row>
    <row r="169" spans="2:3" ht="18.75" x14ac:dyDescent="0.3">
      <c r="B169" s="67"/>
      <c r="C169" s="1"/>
    </row>
    <row r="170" spans="2:3" ht="18.75" x14ac:dyDescent="0.3">
      <c r="B170" s="67"/>
      <c r="C170" s="1"/>
    </row>
    <row r="171" spans="2:3" x14ac:dyDescent="0.25">
      <c r="B171" s="66"/>
    </row>
  </sheetData>
  <dataValidations count="5">
    <dataValidation type="list" allowBlank="1" showInputMessage="1" showErrorMessage="1" sqref="C51 C82" xr:uid="{BBA36324-88E0-439E-823C-22E09A1F3346}">
      <formula1>"Conservador, Agressivo, Moderado"</formula1>
    </dataValidation>
    <dataValidation type="decimal" operator="greaterThanOrEqual" allowBlank="1" showInputMessage="1" showErrorMessage="1" errorTitle="Valor inválido" error="Informe um valor maior ou igual a zero." sqref="D16 C52 D21 C83" xr:uid="{0EEC7681-2337-4AC9-BC58-AF624753F04E}">
      <formula1>0</formula1>
    </dataValidation>
    <dataValidation type="decimal" allowBlank="1" showInputMessage="1" showErrorMessage="1" errorTitle="Taxa inválida" error="Informe uma taxa entre 0% e 100%." sqref="D23" xr:uid="{22C55A44-4671-44ED-944A-96FD117EB75A}">
      <formula1>0</formula1>
      <formula2>1</formula2>
    </dataValidation>
    <dataValidation type="list" allowBlank="1" showInputMessage="1" showErrorMessage="1" errorTitle="Prazo inválido" error="Informe um número inteiro entre 1 e 100 anos." sqref="D22" xr:uid="{72ACA078-7667-4576-AA8B-EE9792E06EFD}">
      <formula1>"2, 5, 10, 15, 20, 25, 30"</formula1>
    </dataValidation>
    <dataValidation type="list" allowBlank="1" showInputMessage="1" showErrorMessage="1" sqref="F17" xr:uid="{AD19904C-4CB7-408B-B14A-974DEBE1A980}">
      <mc:AlternateContent xmlns:x12ac="http://schemas.microsoft.com/office/spreadsheetml/2011/1/ac" xmlns:mc="http://schemas.openxmlformats.org/markup-compatibility/2006">
        <mc:Choice Requires="x12ac">
          <x12ac:list>"0,2"," 0,3"</x12ac:list>
        </mc:Choice>
        <mc:Fallback>
          <formula1>"0,2, 0,3"</formula1>
        </mc:Fallback>
      </mc:AlternateContent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Taxa inválida" error="Selecione uma das taxas disponíveis na lista." xr:uid="{1444E37C-006F-4259-93F5-D7CED9E683A2}">
          <x14:formula1>
            <xm:f>Tabela_suporte!$B$24:$B$26</xm:f>
          </x14:formula1>
          <xm:sqref>D17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ABF-4C17-4DD9-9DBE-2A894B3A1AFB}">
  <sheetPr>
    <tabColor rgb="FFC00000"/>
  </sheetPr>
  <dimension ref="A3:I35"/>
  <sheetViews>
    <sheetView topLeftCell="A13" workbookViewId="0">
      <selection activeCell="E24" sqref="E24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7" max="7" width="1.7109375" bestFit="1" customWidth="1"/>
    <col min="8" max="8" width="17" bestFit="1" customWidth="1"/>
  </cols>
  <sheetData>
    <row r="3" spans="1:9" x14ac:dyDescent="0.25">
      <c r="A3" t="s">
        <v>31</v>
      </c>
      <c r="B3" s="2" t="s">
        <v>28</v>
      </c>
      <c r="C3" s="2" t="s">
        <v>17</v>
      </c>
      <c r="D3" s="2" t="s">
        <v>30</v>
      </c>
    </row>
    <row r="4" spans="1:9" x14ac:dyDescent="0.25">
      <c r="A4" t="str">
        <f>B4&amp;"-"&amp;C4</f>
        <v>Conservador-PAPEL</v>
      </c>
      <c r="B4" s="2" t="s">
        <v>26</v>
      </c>
      <c r="C4" s="2" t="s">
        <v>18</v>
      </c>
      <c r="D4" s="33">
        <v>0.3</v>
      </c>
      <c r="I4" s="1"/>
    </row>
    <row r="5" spans="1:9" x14ac:dyDescent="0.25">
      <c r="A5" t="str">
        <f t="shared" ref="A5:A21" si="0">B5&amp;"-"&amp;C5</f>
        <v>Conservador-TIJOLO</v>
      </c>
      <c r="B5" s="2" t="s">
        <v>26</v>
      </c>
      <c r="C5" s="2" t="s">
        <v>19</v>
      </c>
      <c r="D5" s="33">
        <v>0.5</v>
      </c>
    </row>
    <row r="6" spans="1:9" x14ac:dyDescent="0.25">
      <c r="A6" t="str">
        <f t="shared" si="0"/>
        <v>Conservador-HÍBRIDOS</v>
      </c>
      <c r="B6" s="2" t="s">
        <v>26</v>
      </c>
      <c r="C6" s="2" t="s">
        <v>20</v>
      </c>
      <c r="D6" s="33">
        <v>0.1</v>
      </c>
    </row>
    <row r="7" spans="1:9" x14ac:dyDescent="0.25">
      <c r="A7" t="str">
        <f t="shared" si="0"/>
        <v>Conservador-FOFs</v>
      </c>
      <c r="B7" s="2" t="s">
        <v>26</v>
      </c>
      <c r="C7" s="2" t="s">
        <v>21</v>
      </c>
      <c r="D7" s="33">
        <v>0.1</v>
      </c>
    </row>
    <row r="8" spans="1:9" x14ac:dyDescent="0.25">
      <c r="A8" t="str">
        <f t="shared" si="0"/>
        <v>Conservador-DESENVOLVIMENTO</v>
      </c>
      <c r="B8" s="2" t="s">
        <v>26</v>
      </c>
      <c r="C8" s="2" t="s">
        <v>22</v>
      </c>
      <c r="D8" s="33">
        <v>0</v>
      </c>
    </row>
    <row r="9" spans="1:9" x14ac:dyDescent="0.25">
      <c r="A9" t="str">
        <f t="shared" si="0"/>
        <v>Conservador-HOTELARIAS</v>
      </c>
      <c r="B9" s="2" t="s">
        <v>26</v>
      </c>
      <c r="C9" s="2" t="s">
        <v>23</v>
      </c>
      <c r="D9" s="33">
        <v>0</v>
      </c>
    </row>
    <row r="10" spans="1:9" x14ac:dyDescent="0.25">
      <c r="A10" s="32" t="str">
        <f t="shared" si="0"/>
        <v>Moderado-PAPEL</v>
      </c>
      <c r="B10" s="34" t="s">
        <v>29</v>
      </c>
      <c r="C10" s="34" t="s">
        <v>18</v>
      </c>
      <c r="D10" s="35">
        <v>0.32</v>
      </c>
      <c r="F10" s="41"/>
    </row>
    <row r="11" spans="1:9" x14ac:dyDescent="0.25">
      <c r="A11" s="32" t="str">
        <f t="shared" si="0"/>
        <v>Moderado-TIJOLO</v>
      </c>
      <c r="B11" s="34" t="s">
        <v>29</v>
      </c>
      <c r="C11" s="34" t="s">
        <v>19</v>
      </c>
      <c r="D11" s="35">
        <v>0.35</v>
      </c>
    </row>
    <row r="12" spans="1:9" x14ac:dyDescent="0.25">
      <c r="A12" s="32" t="str">
        <f t="shared" si="0"/>
        <v>Moderado-HÍBRIDOS</v>
      </c>
      <c r="B12" s="34" t="s">
        <v>29</v>
      </c>
      <c r="C12" s="34" t="s">
        <v>20</v>
      </c>
      <c r="D12" s="35">
        <v>0.08</v>
      </c>
    </row>
    <row r="13" spans="1:9" x14ac:dyDescent="0.25">
      <c r="A13" s="32" t="str">
        <f t="shared" si="0"/>
        <v>Moderado-FOFs</v>
      </c>
      <c r="B13" s="34" t="s">
        <v>29</v>
      </c>
      <c r="C13" s="34" t="s">
        <v>21</v>
      </c>
      <c r="D13" s="35">
        <v>0.05</v>
      </c>
    </row>
    <row r="14" spans="1:9" x14ac:dyDescent="0.25">
      <c r="A14" s="32" t="str">
        <f t="shared" si="0"/>
        <v>Moderado-DESENVOLVIMENTO</v>
      </c>
      <c r="B14" s="34" t="s">
        <v>29</v>
      </c>
      <c r="C14" s="34" t="s">
        <v>22</v>
      </c>
      <c r="D14" s="35">
        <v>0.1</v>
      </c>
    </row>
    <row r="15" spans="1:9" x14ac:dyDescent="0.25">
      <c r="A15" s="32" t="str">
        <f t="shared" si="0"/>
        <v>Moderado-HOTELARIAS</v>
      </c>
      <c r="B15" s="34" t="s">
        <v>29</v>
      </c>
      <c r="C15" s="34" t="s">
        <v>23</v>
      </c>
      <c r="D15" s="35">
        <v>0.1</v>
      </c>
    </row>
    <row r="16" spans="1:9" x14ac:dyDescent="0.25">
      <c r="A16" s="36" t="str">
        <f t="shared" si="0"/>
        <v>Agressivo-PAPEL</v>
      </c>
      <c r="B16" s="37" t="s">
        <v>27</v>
      </c>
      <c r="C16" s="37" t="s">
        <v>18</v>
      </c>
      <c r="D16" s="38">
        <v>0.5</v>
      </c>
    </row>
    <row r="17" spans="1:4" x14ac:dyDescent="0.25">
      <c r="A17" s="36" t="str">
        <f t="shared" si="0"/>
        <v>Agressivo-TIJOLO</v>
      </c>
      <c r="B17" s="37" t="s">
        <v>27</v>
      </c>
      <c r="C17" s="37" t="s">
        <v>19</v>
      </c>
      <c r="D17" s="38">
        <v>0.1</v>
      </c>
    </row>
    <row r="18" spans="1:4" x14ac:dyDescent="0.25">
      <c r="A18" s="36" t="str">
        <f t="shared" si="0"/>
        <v>Agressivo-HÍBRIDOS</v>
      </c>
      <c r="B18" s="37" t="s">
        <v>27</v>
      </c>
      <c r="C18" s="37" t="s">
        <v>20</v>
      </c>
      <c r="D18" s="38">
        <v>0.05</v>
      </c>
    </row>
    <row r="19" spans="1:4" x14ac:dyDescent="0.25">
      <c r="A19" s="36" t="str">
        <f t="shared" si="0"/>
        <v>Agressivo-FOFs</v>
      </c>
      <c r="B19" s="37" t="s">
        <v>27</v>
      </c>
      <c r="C19" s="37" t="s">
        <v>21</v>
      </c>
      <c r="D19" s="38">
        <v>0.05</v>
      </c>
    </row>
    <row r="20" spans="1:4" x14ac:dyDescent="0.25">
      <c r="A20" s="36" t="str">
        <f t="shared" si="0"/>
        <v>Agressivo-DESENVOLVIMENTO</v>
      </c>
      <c r="B20" s="37" t="s">
        <v>27</v>
      </c>
      <c r="C20" s="37" t="s">
        <v>22</v>
      </c>
      <c r="D20" s="38">
        <v>0.2</v>
      </c>
    </row>
    <row r="21" spans="1:4" x14ac:dyDescent="0.25">
      <c r="A21" s="36" t="str">
        <f t="shared" si="0"/>
        <v>Agressivo-HOTELARIAS</v>
      </c>
      <c r="B21" s="37" t="s">
        <v>27</v>
      </c>
      <c r="C21" s="37" t="s">
        <v>23</v>
      </c>
      <c r="D21" s="38">
        <v>0.1</v>
      </c>
    </row>
    <row r="24" spans="1:4" x14ac:dyDescent="0.25">
      <c r="A24" s="39" t="s">
        <v>26</v>
      </c>
      <c r="B24" s="72">
        <v>6.0000000000000001E-3</v>
      </c>
    </row>
    <row r="25" spans="1:4" x14ac:dyDescent="0.25">
      <c r="A25" s="39" t="s">
        <v>29</v>
      </c>
      <c r="B25" s="72">
        <v>8.0000000000000002E-3</v>
      </c>
    </row>
    <row r="26" spans="1:4" x14ac:dyDescent="0.25">
      <c r="A26" s="39" t="s">
        <v>27</v>
      </c>
      <c r="B26" s="72">
        <v>0.01</v>
      </c>
    </row>
    <row r="29" spans="1:4" x14ac:dyDescent="0.25">
      <c r="A29" s="68"/>
      <c r="B29" s="68" t="s">
        <v>42</v>
      </c>
      <c r="C29" s="68" t="s">
        <v>43</v>
      </c>
      <c r="D29" s="68"/>
    </row>
    <row r="30" spans="1:4" ht="18.75" x14ac:dyDescent="0.3">
      <c r="A30" s="70">
        <v>0</v>
      </c>
      <c r="B30" s="68"/>
      <c r="C30" s="68"/>
      <c r="D30" s="68"/>
    </row>
    <row r="31" spans="1:4" ht="18.75" x14ac:dyDescent="0.3">
      <c r="A31" s="70">
        <f>Ferramenta_Investimento!C28</f>
        <v>64736.315647659598</v>
      </c>
      <c r="B31" s="68" t="str">
        <f>Ferramenta_Investimento!A28&amp;" anos"</f>
        <v>2 anos</v>
      </c>
      <c r="C31" s="71">
        <v>0</v>
      </c>
      <c r="D31" s="68"/>
    </row>
    <row r="32" spans="1:4" ht="18.75" x14ac:dyDescent="0.3">
      <c r="A32" s="70">
        <f>Ferramenta_Investimento!C29</f>
        <v>196007.20765538191</v>
      </c>
      <c r="B32" s="68" t="str">
        <f>Ferramenta_Investimento!A29&amp;" anos"</f>
        <v>5 anos</v>
      </c>
      <c r="C32" s="69">
        <f>IFERROR((A32-A31)/A31,"")</f>
        <v>2.0277782369047772</v>
      </c>
      <c r="D32" s="68"/>
    </row>
    <row r="33" spans="1:4" ht="18.75" x14ac:dyDescent="0.3">
      <c r="A33" s="70">
        <f>Ferramenta_Investimento!C30</f>
        <v>552092.8546976808</v>
      </c>
      <c r="B33" s="68" t="str">
        <f>Ferramenta_Investimento!A30&amp;" anos"</f>
        <v>10 anos</v>
      </c>
      <c r="C33" s="69">
        <f t="shared" ref="C33:C35" si="1">IFERROR((A33-A32)/A32,"")</f>
        <v>1.8166966985640929</v>
      </c>
      <c r="D33" s="68"/>
    </row>
    <row r="34" spans="1:4" ht="18.75" x14ac:dyDescent="0.3">
      <c r="A34" s="70">
        <f>Ferramenta_Investimento!C31</f>
        <v>2374212.876929671</v>
      </c>
      <c r="B34" s="68" t="str">
        <f>Ferramenta_Investimento!A31&amp;" anos"</f>
        <v>20 anos</v>
      </c>
      <c r="C34" s="69">
        <f t="shared" si="1"/>
        <v>3.3003868945736685</v>
      </c>
      <c r="D34" s="68"/>
    </row>
    <row r="35" spans="1:4" ht="18.75" x14ac:dyDescent="0.3">
      <c r="A35" s="70">
        <f>Ferramenta_Investimento!C32</f>
        <v>8387913.9186444152</v>
      </c>
      <c r="B35" s="68" t="str">
        <f>Ferramenta_Investimento!A32&amp;" anos"</f>
        <v>30 anos</v>
      </c>
      <c r="C35" s="69">
        <f t="shared" si="1"/>
        <v>2.5329241114603231</v>
      </c>
      <c r="D35" s="6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2247-4323-4D22-97CA-9FEF4C2FB216}">
  <dimension ref="A1:D32"/>
  <sheetViews>
    <sheetView workbookViewId="0"/>
  </sheetViews>
  <sheetFormatPr defaultRowHeight="15" x14ac:dyDescent="0.25"/>
  <sheetData>
    <row r="1" spans="1:4" x14ac:dyDescent="0.25">
      <c r="A1" t="s">
        <v>34</v>
      </c>
      <c r="B1" t="s">
        <v>35</v>
      </c>
      <c r="C1" t="s">
        <v>36</v>
      </c>
      <c r="D1" t="s">
        <v>37</v>
      </c>
    </row>
    <row r="2" spans="1:4" x14ac:dyDescent="0.25">
      <c r="A2">
        <v>0</v>
      </c>
      <c r="B2" s="48" t="e">
        <f>FV(Tabela_suporte!$B$24,$A2*12,-Ferramenta_Investimento!$C$82,0,0)</f>
        <v>#VALUE!</v>
      </c>
      <c r="C2" s="48" t="e">
        <f>FV(Tabela_suporte!$B$25,$A2*12,-Ferramenta_Investimento!$C$82,0,0)</f>
        <v>#VALUE!</v>
      </c>
      <c r="D2" s="48" t="e">
        <f>FV(Tabela_suporte!$B$26,$A2*12,-Ferramenta_Investimento!$C$82,0,0)</f>
        <v>#VALUE!</v>
      </c>
    </row>
    <row r="3" spans="1:4" x14ac:dyDescent="0.25">
      <c r="A3">
        <v>1</v>
      </c>
      <c r="B3" s="48" t="e">
        <f>FV(Tabela_suporte!$B$24,$A3*12,-Ferramenta_Investimento!$C$82,0,0)</f>
        <v>#VALUE!</v>
      </c>
      <c r="C3" s="48" t="e">
        <f>FV(Tabela_suporte!$B$25,$A3*12,-Ferramenta_Investimento!$C$82,0,0)</f>
        <v>#VALUE!</v>
      </c>
      <c r="D3" s="48" t="e">
        <f>FV(Tabela_suporte!$B$26,$A3*12,-Ferramenta_Investimento!$C$82,0,0)</f>
        <v>#VALUE!</v>
      </c>
    </row>
    <row r="4" spans="1:4" x14ac:dyDescent="0.25">
      <c r="A4">
        <v>2</v>
      </c>
      <c r="B4" s="48" t="e">
        <f>FV(Tabela_suporte!$B$24,$A4*12,-Ferramenta_Investimento!$C$82,0,0)</f>
        <v>#VALUE!</v>
      </c>
      <c r="C4" s="48" t="e">
        <f>FV(Tabela_suporte!$B$25,$A4*12,-Ferramenta_Investimento!$C$82,0,0)</f>
        <v>#VALUE!</v>
      </c>
      <c r="D4" s="48" t="e">
        <f>FV(Tabela_suporte!$B$26,$A4*12,-Ferramenta_Investimento!$C$82,0,0)</f>
        <v>#VALUE!</v>
      </c>
    </row>
    <row r="5" spans="1:4" x14ac:dyDescent="0.25">
      <c r="A5">
        <v>3</v>
      </c>
      <c r="B5" s="48" t="e">
        <f>FV(Tabela_suporte!$B$24,$A5*12,-Ferramenta_Investimento!$C$82,0,0)</f>
        <v>#VALUE!</v>
      </c>
      <c r="C5" s="48" t="e">
        <f>FV(Tabela_suporte!$B$25,$A5*12,-Ferramenta_Investimento!$C$82,0,0)</f>
        <v>#VALUE!</v>
      </c>
      <c r="D5" s="48" t="e">
        <f>FV(Tabela_suporte!$B$26,$A5*12,-Ferramenta_Investimento!$C$82,0,0)</f>
        <v>#VALUE!</v>
      </c>
    </row>
    <row r="6" spans="1:4" x14ac:dyDescent="0.25">
      <c r="A6">
        <v>4</v>
      </c>
      <c r="B6" s="48" t="e">
        <f>FV(Tabela_suporte!$B$24,$A6*12,-Ferramenta_Investimento!$C$82,0,0)</f>
        <v>#VALUE!</v>
      </c>
      <c r="C6" s="48" t="e">
        <f>FV(Tabela_suporte!$B$25,$A6*12,-Ferramenta_Investimento!$C$82,0,0)</f>
        <v>#VALUE!</v>
      </c>
      <c r="D6" s="48" t="e">
        <f>FV(Tabela_suporte!$B$26,$A6*12,-Ferramenta_Investimento!$C$82,0,0)</f>
        <v>#VALUE!</v>
      </c>
    </row>
    <row r="7" spans="1:4" x14ac:dyDescent="0.25">
      <c r="A7">
        <v>5</v>
      </c>
      <c r="B7" s="48" t="e">
        <f>FV(Tabela_suporte!$B$24,$A7*12,-Ferramenta_Investimento!$C$82,0,0)</f>
        <v>#VALUE!</v>
      </c>
      <c r="C7" s="48" t="e">
        <f>FV(Tabela_suporte!$B$25,$A7*12,-Ferramenta_Investimento!$C$82,0,0)</f>
        <v>#VALUE!</v>
      </c>
      <c r="D7" s="48" t="e">
        <f>FV(Tabela_suporte!$B$26,$A7*12,-Ferramenta_Investimento!$C$82,0,0)</f>
        <v>#VALUE!</v>
      </c>
    </row>
    <row r="8" spans="1:4" x14ac:dyDescent="0.25">
      <c r="A8">
        <v>6</v>
      </c>
      <c r="B8" s="48" t="e">
        <f>FV(Tabela_suporte!$B$24,$A8*12,-Ferramenta_Investimento!$C$82,0,0)</f>
        <v>#VALUE!</v>
      </c>
      <c r="C8" s="48" t="e">
        <f>FV(Tabela_suporte!$B$25,$A8*12,-Ferramenta_Investimento!$C$82,0,0)</f>
        <v>#VALUE!</v>
      </c>
      <c r="D8" s="48" t="e">
        <f>FV(Tabela_suporte!$B$26,$A8*12,-Ferramenta_Investimento!$C$82,0,0)</f>
        <v>#VALUE!</v>
      </c>
    </row>
    <row r="9" spans="1:4" x14ac:dyDescent="0.25">
      <c r="A9">
        <v>7</v>
      </c>
      <c r="B9" s="48" t="e">
        <f>FV(Tabela_suporte!$B$24,$A9*12,-Ferramenta_Investimento!$C$82,0,0)</f>
        <v>#VALUE!</v>
      </c>
      <c r="C9" s="48" t="e">
        <f>FV(Tabela_suporte!$B$25,$A9*12,-Ferramenta_Investimento!$C$82,0,0)</f>
        <v>#VALUE!</v>
      </c>
      <c r="D9" s="48" t="e">
        <f>FV(Tabela_suporte!$B$26,$A9*12,-Ferramenta_Investimento!$C$82,0,0)</f>
        <v>#VALUE!</v>
      </c>
    </row>
    <row r="10" spans="1:4" x14ac:dyDescent="0.25">
      <c r="A10">
        <v>8</v>
      </c>
      <c r="B10" s="48" t="e">
        <f>FV(Tabela_suporte!$B$24,$A10*12,-Ferramenta_Investimento!$C$82,0,0)</f>
        <v>#VALUE!</v>
      </c>
      <c r="C10" s="48" t="e">
        <f>FV(Tabela_suporte!$B$25,$A10*12,-Ferramenta_Investimento!$C$82,0,0)</f>
        <v>#VALUE!</v>
      </c>
      <c r="D10" s="48" t="e">
        <f>FV(Tabela_suporte!$B$26,$A10*12,-Ferramenta_Investimento!$C$82,0,0)</f>
        <v>#VALUE!</v>
      </c>
    </row>
    <row r="11" spans="1:4" x14ac:dyDescent="0.25">
      <c r="A11">
        <v>9</v>
      </c>
      <c r="B11" s="48" t="e">
        <f>FV(Tabela_suporte!$B$24,$A11*12,-Ferramenta_Investimento!$C$82,0,0)</f>
        <v>#VALUE!</v>
      </c>
      <c r="C11" s="48" t="e">
        <f>FV(Tabela_suporte!$B$25,$A11*12,-Ferramenta_Investimento!$C$82,0,0)</f>
        <v>#VALUE!</v>
      </c>
      <c r="D11" s="48" t="e">
        <f>FV(Tabela_suporte!$B$26,$A11*12,-Ferramenta_Investimento!$C$82,0,0)</f>
        <v>#VALUE!</v>
      </c>
    </row>
    <row r="12" spans="1:4" x14ac:dyDescent="0.25">
      <c r="A12">
        <v>10</v>
      </c>
      <c r="B12" s="48" t="e">
        <f>FV(Tabela_suporte!$B$24,$A12*12,-Ferramenta_Investimento!$C$82,0,0)</f>
        <v>#VALUE!</v>
      </c>
      <c r="C12" s="48" t="e">
        <f>FV(Tabela_suporte!$B$25,$A12*12,-Ferramenta_Investimento!$C$82,0,0)</f>
        <v>#VALUE!</v>
      </c>
      <c r="D12" s="48" t="e">
        <f>FV(Tabela_suporte!$B$26,$A12*12,-Ferramenta_Investimento!$C$82,0,0)</f>
        <v>#VALUE!</v>
      </c>
    </row>
    <row r="13" spans="1:4" x14ac:dyDescent="0.25">
      <c r="A13">
        <v>11</v>
      </c>
      <c r="B13" s="48" t="e">
        <f>FV(Tabela_suporte!$B$24,$A13*12,-Ferramenta_Investimento!$C$82,0,0)</f>
        <v>#VALUE!</v>
      </c>
      <c r="C13" s="48" t="e">
        <f>FV(Tabela_suporte!$B$25,$A13*12,-Ferramenta_Investimento!$C$82,0,0)</f>
        <v>#VALUE!</v>
      </c>
      <c r="D13" s="48" t="e">
        <f>FV(Tabela_suporte!$B$26,$A13*12,-Ferramenta_Investimento!$C$82,0,0)</f>
        <v>#VALUE!</v>
      </c>
    </row>
    <row r="14" spans="1:4" x14ac:dyDescent="0.25">
      <c r="A14">
        <v>12</v>
      </c>
      <c r="B14" s="48" t="e">
        <f>FV(Tabela_suporte!$B$24,$A14*12,-Ferramenta_Investimento!$C$82,0,0)</f>
        <v>#VALUE!</v>
      </c>
      <c r="C14" s="48" t="e">
        <f>FV(Tabela_suporte!$B$25,$A14*12,-Ferramenta_Investimento!$C$82,0,0)</f>
        <v>#VALUE!</v>
      </c>
      <c r="D14" s="48" t="e">
        <f>FV(Tabela_suporte!$B$26,$A14*12,-Ferramenta_Investimento!$C$82,0,0)</f>
        <v>#VALUE!</v>
      </c>
    </row>
    <row r="15" spans="1:4" x14ac:dyDescent="0.25">
      <c r="A15">
        <v>13</v>
      </c>
      <c r="B15" s="48" t="e">
        <f>FV(Tabela_suporte!$B$24,$A15*12,-Ferramenta_Investimento!$C$82,0,0)</f>
        <v>#VALUE!</v>
      </c>
      <c r="C15" s="48" t="e">
        <f>FV(Tabela_suporte!$B$25,$A15*12,-Ferramenta_Investimento!$C$82,0,0)</f>
        <v>#VALUE!</v>
      </c>
      <c r="D15" s="48" t="e">
        <f>FV(Tabela_suporte!$B$26,$A15*12,-Ferramenta_Investimento!$C$82,0,0)</f>
        <v>#VALUE!</v>
      </c>
    </row>
    <row r="16" spans="1:4" x14ac:dyDescent="0.25">
      <c r="A16">
        <v>14</v>
      </c>
      <c r="B16" s="48" t="e">
        <f>FV(Tabela_suporte!$B$24,$A16*12,-Ferramenta_Investimento!$C$82,0,0)</f>
        <v>#VALUE!</v>
      </c>
      <c r="C16" s="48" t="e">
        <f>FV(Tabela_suporte!$B$25,$A16*12,-Ferramenta_Investimento!$C$82,0,0)</f>
        <v>#VALUE!</v>
      </c>
      <c r="D16" s="48" t="e">
        <f>FV(Tabela_suporte!$B$26,$A16*12,-Ferramenta_Investimento!$C$82,0,0)</f>
        <v>#VALUE!</v>
      </c>
    </row>
    <row r="17" spans="1:4" x14ac:dyDescent="0.25">
      <c r="A17">
        <v>15</v>
      </c>
      <c r="B17" s="48" t="e">
        <f>FV(Tabela_suporte!$B$24,$A17*12,-Ferramenta_Investimento!$C$82,0,0)</f>
        <v>#VALUE!</v>
      </c>
      <c r="C17" s="48" t="e">
        <f>FV(Tabela_suporte!$B$25,$A17*12,-Ferramenta_Investimento!$C$82,0,0)</f>
        <v>#VALUE!</v>
      </c>
      <c r="D17" s="48" t="e">
        <f>FV(Tabela_suporte!$B$26,$A17*12,-Ferramenta_Investimento!$C$82,0,0)</f>
        <v>#VALUE!</v>
      </c>
    </row>
    <row r="18" spans="1:4" x14ac:dyDescent="0.25">
      <c r="A18">
        <v>16</v>
      </c>
      <c r="B18" s="48" t="e">
        <f>FV(Tabela_suporte!$B$24,$A18*12,-Ferramenta_Investimento!$C$82,0,0)</f>
        <v>#VALUE!</v>
      </c>
      <c r="C18" s="48" t="e">
        <f>FV(Tabela_suporte!$B$25,$A18*12,-Ferramenta_Investimento!$C$82,0,0)</f>
        <v>#VALUE!</v>
      </c>
      <c r="D18" s="48" t="e">
        <f>FV(Tabela_suporte!$B$26,$A18*12,-Ferramenta_Investimento!$C$82,0,0)</f>
        <v>#VALUE!</v>
      </c>
    </row>
    <row r="19" spans="1:4" x14ac:dyDescent="0.25">
      <c r="A19">
        <v>17</v>
      </c>
      <c r="B19" s="48" t="e">
        <f>FV(Tabela_suporte!$B$24,$A19*12,-Ferramenta_Investimento!$C$82,0,0)</f>
        <v>#VALUE!</v>
      </c>
      <c r="C19" s="48" t="e">
        <f>FV(Tabela_suporte!$B$25,$A19*12,-Ferramenta_Investimento!$C$82,0,0)</f>
        <v>#VALUE!</v>
      </c>
      <c r="D19" s="48" t="e">
        <f>FV(Tabela_suporte!$B$26,$A19*12,-Ferramenta_Investimento!$C$82,0,0)</f>
        <v>#VALUE!</v>
      </c>
    </row>
    <row r="20" spans="1:4" x14ac:dyDescent="0.25">
      <c r="A20">
        <v>18</v>
      </c>
      <c r="B20" s="48" t="e">
        <f>FV(Tabela_suporte!$B$24,$A20*12,-Ferramenta_Investimento!$C$82,0,0)</f>
        <v>#VALUE!</v>
      </c>
      <c r="C20" s="48" t="e">
        <f>FV(Tabela_suporte!$B$25,$A20*12,-Ferramenta_Investimento!$C$82,0,0)</f>
        <v>#VALUE!</v>
      </c>
      <c r="D20" s="48" t="e">
        <f>FV(Tabela_suporte!$B$26,$A20*12,-Ferramenta_Investimento!$C$82,0,0)</f>
        <v>#VALUE!</v>
      </c>
    </row>
    <row r="21" spans="1:4" x14ac:dyDescent="0.25">
      <c r="A21">
        <v>19</v>
      </c>
      <c r="B21" s="48" t="e">
        <f>FV(Tabela_suporte!$B$24,$A21*12,-Ferramenta_Investimento!$C$82,0,0)</f>
        <v>#VALUE!</v>
      </c>
      <c r="C21" s="48" t="e">
        <f>FV(Tabela_suporte!$B$25,$A21*12,-Ferramenta_Investimento!$C$82,0,0)</f>
        <v>#VALUE!</v>
      </c>
      <c r="D21" s="48" t="e">
        <f>FV(Tabela_suporte!$B$26,$A21*12,-Ferramenta_Investimento!$C$82,0,0)</f>
        <v>#VALUE!</v>
      </c>
    </row>
    <row r="22" spans="1:4" x14ac:dyDescent="0.25">
      <c r="A22">
        <v>20</v>
      </c>
      <c r="B22" s="48" t="e">
        <f>FV(Tabela_suporte!$B$24,$A22*12,-Ferramenta_Investimento!$C$82,0,0)</f>
        <v>#VALUE!</v>
      </c>
      <c r="C22" s="48" t="e">
        <f>FV(Tabela_suporte!$B$25,$A22*12,-Ferramenta_Investimento!$C$82,0,0)</f>
        <v>#VALUE!</v>
      </c>
      <c r="D22" s="48" t="e">
        <f>FV(Tabela_suporte!$B$26,$A22*12,-Ferramenta_Investimento!$C$82,0,0)</f>
        <v>#VALUE!</v>
      </c>
    </row>
    <row r="23" spans="1:4" x14ac:dyDescent="0.25">
      <c r="A23">
        <v>21</v>
      </c>
      <c r="B23" s="48" t="e">
        <f>FV(Tabela_suporte!$B$24,$A23*12,-Ferramenta_Investimento!$C$82,0,0)</f>
        <v>#VALUE!</v>
      </c>
      <c r="C23" s="48" t="e">
        <f>FV(Tabela_suporte!$B$25,$A23*12,-Ferramenta_Investimento!$C$82,0,0)</f>
        <v>#VALUE!</v>
      </c>
      <c r="D23" s="48" t="e">
        <f>FV(Tabela_suporte!$B$26,$A23*12,-Ferramenta_Investimento!$C$82,0,0)</f>
        <v>#VALUE!</v>
      </c>
    </row>
    <row r="24" spans="1:4" x14ac:dyDescent="0.25">
      <c r="A24">
        <v>22</v>
      </c>
      <c r="B24" s="48" t="e">
        <f>FV(Tabela_suporte!$B$24,$A24*12,-Ferramenta_Investimento!$C$82,0,0)</f>
        <v>#VALUE!</v>
      </c>
      <c r="C24" s="48" t="e">
        <f>FV(Tabela_suporte!$B$25,$A24*12,-Ferramenta_Investimento!$C$82,0,0)</f>
        <v>#VALUE!</v>
      </c>
      <c r="D24" s="48" t="e">
        <f>FV(Tabela_suporte!$B$26,$A24*12,-Ferramenta_Investimento!$C$82,0,0)</f>
        <v>#VALUE!</v>
      </c>
    </row>
    <row r="25" spans="1:4" x14ac:dyDescent="0.25">
      <c r="A25">
        <v>23</v>
      </c>
      <c r="B25" s="48" t="e">
        <f>FV(Tabela_suporte!$B$24,$A25*12,-Ferramenta_Investimento!$C$82,0,0)</f>
        <v>#VALUE!</v>
      </c>
      <c r="C25" s="48" t="e">
        <f>FV(Tabela_suporte!$B$25,$A25*12,-Ferramenta_Investimento!$C$82,0,0)</f>
        <v>#VALUE!</v>
      </c>
      <c r="D25" s="48" t="e">
        <f>FV(Tabela_suporte!$B$26,$A25*12,-Ferramenta_Investimento!$C$82,0,0)</f>
        <v>#VALUE!</v>
      </c>
    </row>
    <row r="26" spans="1:4" x14ac:dyDescent="0.25">
      <c r="A26">
        <v>24</v>
      </c>
      <c r="B26" s="48" t="e">
        <f>FV(Tabela_suporte!$B$24,$A26*12,-Ferramenta_Investimento!$C$82,0,0)</f>
        <v>#VALUE!</v>
      </c>
      <c r="C26" s="48" t="e">
        <f>FV(Tabela_suporte!$B$25,$A26*12,-Ferramenta_Investimento!$C$82,0,0)</f>
        <v>#VALUE!</v>
      </c>
      <c r="D26" s="48" t="e">
        <f>FV(Tabela_suporte!$B$26,$A26*12,-Ferramenta_Investimento!$C$82,0,0)</f>
        <v>#VALUE!</v>
      </c>
    </row>
    <row r="27" spans="1:4" x14ac:dyDescent="0.25">
      <c r="A27">
        <v>25</v>
      </c>
      <c r="B27" s="48" t="e">
        <f>FV(Tabela_suporte!$B$24,$A27*12,-Ferramenta_Investimento!$C$82,0,0)</f>
        <v>#VALUE!</v>
      </c>
      <c r="C27" s="48" t="e">
        <f>FV(Tabela_suporte!$B$25,$A27*12,-Ferramenta_Investimento!$C$82,0,0)</f>
        <v>#VALUE!</v>
      </c>
      <c r="D27" s="48" t="e">
        <f>FV(Tabela_suporte!$B$26,$A27*12,-Ferramenta_Investimento!$C$82,0,0)</f>
        <v>#VALUE!</v>
      </c>
    </row>
    <row r="28" spans="1:4" x14ac:dyDescent="0.25">
      <c r="A28">
        <v>26</v>
      </c>
      <c r="B28" s="48" t="e">
        <f>FV(Tabela_suporte!$B$24,$A28*12,-Ferramenta_Investimento!$C$82,0,0)</f>
        <v>#VALUE!</v>
      </c>
      <c r="C28" s="48" t="e">
        <f>FV(Tabela_suporte!$B$25,$A28*12,-Ferramenta_Investimento!$C$82,0,0)</f>
        <v>#VALUE!</v>
      </c>
      <c r="D28" s="48" t="e">
        <f>FV(Tabela_suporte!$B$26,$A28*12,-Ferramenta_Investimento!$C$82,0,0)</f>
        <v>#VALUE!</v>
      </c>
    </row>
    <row r="29" spans="1:4" x14ac:dyDescent="0.25">
      <c r="A29">
        <v>27</v>
      </c>
      <c r="B29" s="48" t="e">
        <f>FV(Tabela_suporte!$B$24,$A29*12,-Ferramenta_Investimento!$C$82,0,0)</f>
        <v>#VALUE!</v>
      </c>
      <c r="C29" s="48" t="e">
        <f>FV(Tabela_suporte!$B$25,$A29*12,-Ferramenta_Investimento!$C$82,0,0)</f>
        <v>#VALUE!</v>
      </c>
      <c r="D29" s="48" t="e">
        <f>FV(Tabela_suporte!$B$26,$A29*12,-Ferramenta_Investimento!$C$82,0,0)</f>
        <v>#VALUE!</v>
      </c>
    </row>
    <row r="30" spans="1:4" x14ac:dyDescent="0.25">
      <c r="A30">
        <v>28</v>
      </c>
      <c r="B30" s="48" t="e">
        <f>FV(Tabela_suporte!$B$24,$A30*12,-Ferramenta_Investimento!$C$82,0,0)</f>
        <v>#VALUE!</v>
      </c>
      <c r="C30" s="48" t="e">
        <f>FV(Tabela_suporte!$B$25,$A30*12,-Ferramenta_Investimento!$C$82,0,0)</f>
        <v>#VALUE!</v>
      </c>
      <c r="D30" s="48" t="e">
        <f>FV(Tabela_suporte!$B$26,$A30*12,-Ferramenta_Investimento!$C$82,0,0)</f>
        <v>#VALUE!</v>
      </c>
    </row>
    <row r="31" spans="1:4" x14ac:dyDescent="0.25">
      <c r="A31">
        <v>29</v>
      </c>
      <c r="B31" s="48" t="e">
        <f>FV(Tabela_suporte!$B$24,$A31*12,-Ferramenta_Investimento!$C$82,0,0)</f>
        <v>#VALUE!</v>
      </c>
      <c r="C31" s="48" t="e">
        <f>FV(Tabela_suporte!$B$25,$A31*12,-Ferramenta_Investimento!$C$82,0,0)</f>
        <v>#VALUE!</v>
      </c>
      <c r="D31" s="48" t="e">
        <f>FV(Tabela_suporte!$B$26,$A31*12,-Ferramenta_Investimento!$C$82,0,0)</f>
        <v>#VALUE!</v>
      </c>
    </row>
    <row r="32" spans="1:4" x14ac:dyDescent="0.25">
      <c r="A32">
        <v>30</v>
      </c>
      <c r="B32" s="48" t="e">
        <f>FV(Tabela_suporte!$B$24,$A32*12,-Ferramenta_Investimento!$C$82,0,0)</f>
        <v>#VALUE!</v>
      </c>
      <c r="C32" s="48" t="e">
        <f>FV(Tabela_suporte!$B$25,$A32*12,-Ferramenta_Investimento!$C$82,0,0)</f>
        <v>#VALUE!</v>
      </c>
      <c r="D32" s="48" t="e">
        <f>FV(Tabela_suporte!$B$26,$A32*12,-Ferramenta_Investimento!$C$82,0,0)</f>
        <v>#VALUE!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8</vt:i4>
      </vt:variant>
    </vt:vector>
  </HeadingPairs>
  <TitlesOfParts>
    <vt:vector size="11" baseType="lpstr">
      <vt:lpstr>Ferramenta_Investimento</vt:lpstr>
      <vt:lpstr>Tabela_suporte</vt:lpstr>
      <vt:lpstr>Chart Data</vt:lpstr>
      <vt:lpstr>Aporte</vt:lpstr>
      <vt:lpstr>Patrimonio</vt:lpstr>
      <vt:lpstr>qtd_anos</vt:lpstr>
      <vt:lpstr>Rendimento_Carteira</vt:lpstr>
      <vt:lpstr>Sugestão_Investimento</vt:lpstr>
      <vt:lpstr>taxa_mensal</vt:lpstr>
      <vt:lpstr>Taxas_Cenarios</vt:lpstr>
      <vt:lpstr>Tipo_investidor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Bortoluci</dc:creator>
  <cp:lastModifiedBy>Vinicius Bortoluci</cp:lastModifiedBy>
  <dcterms:created xsi:type="dcterms:W3CDTF">2015-06-05T18:17:20Z</dcterms:created>
  <dcterms:modified xsi:type="dcterms:W3CDTF">2026-10-10T13:37:10Z</dcterms:modified>
</cp:coreProperties>
</file>